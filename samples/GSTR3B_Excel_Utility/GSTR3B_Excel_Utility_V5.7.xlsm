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GST\Staging\FO-APP-Utilities\offlineutilities\returns_gstr3b\GSTR3B_Excel_Utility\GSTR3B_Excel_Utility\"/>
    </mc:Choice>
  </mc:AlternateContent>
  <xr:revisionPtr revIDLastSave="0" documentId="13_ncr:1_{1749738F-1561-4B9A-948F-8FB470B90455}" xr6:coauthVersionLast="47" xr6:coauthVersionMax="47" xr10:uidLastSave="{00000000-0000-0000-0000-000000000000}"/>
  <workbookProtection workbookAlgorithmName="SHA-512" workbookHashValue="OZpKKfFyozqzvaDnJv5HNTRqNRMot17/tV8pdY88AYtO/JHFcMPxk4PxtdjbtIUs9fRV2sgeNH1RsvgDm+LQ5g==" workbookSaltValue="kGaEcBAhMRQDs8inFSapnw==" workbookSpinCount="100000" lockStructure="1"/>
  <bookViews>
    <workbookView xWindow="-110" yWindow="-110" windowWidth="19420" windowHeight="10300" tabRatio="658" activeTab="1" xr2:uid="{00000000-000D-0000-FFFF-FFFF00000000}"/>
  </bookViews>
  <sheets>
    <sheet name="Help Instructions " sheetId="12" r:id="rId1"/>
    <sheet name="GSTR-3B" sheetId="1" r:id="rId2"/>
    <sheet name="Sheet1" sheetId="13" state="hidden" r:id="rId3"/>
    <sheet name="Master" sheetId="11" state="hidden" r:id="rId4"/>
  </sheets>
  <functionGroups builtInGroupCount="19"/>
  <externalReferences>
    <externalReference r:id="rId5"/>
  </externalReferences>
  <definedNames>
    <definedName name="disable3.2">'GSTR-3B'!$B$88:$H$124</definedName>
    <definedName name="EcoSuppliesRange">'GSTR-3B'!$D$22,'GSTR-3B'!$C$22,'GSTR-3B'!$E$22,'GSTR-3B'!$F$22,'GSTR-3B'!$G$22,'GSTR-3B'!$C$23</definedName>
    <definedName name="ExemptNilRatedRange">'GSTR-3B'!$D$48,'GSTR-3B'!$E$48,'GSTR-3B'!$D$49,'GSTR-3B'!$E$49</definedName>
    <definedName name="greyout3.2fields" localSheetId="1">'GSTR-3B'!$C$88:$H$124</definedName>
    <definedName name="InterestRange">'GSTR-3B'!$C$65:$F$65</definedName>
    <definedName name="InterStateSuppliesValuesRange">'GSTR-3B'!$C$88:$H$124</definedName>
    <definedName name="ITCRange">'GSTR-3B'!$C$31,'GSTR-3B'!$C$32,'GSTR-3B'!$C$33,'GSTR-3B'!$C$34,'GSTR-3B'!$C$35,'GSTR-3B'!$D$33,'GSTR-3B'!$D$34,'GSTR-3B'!$D$35,'GSTR-3B'!$E$33,'GSTR-3B'!$E$34,'GSTR-3B'!$E$35,'GSTR-3B'!$F$31,'GSTR-3B'!$F$32,'GSTR-3B'!$F$33,'GSTR-3B'!$F$34,'GSTR-3B'!$F$35,'GSTR-3B'!$C$37,'GSTR-3B'!$C$38,'GSTR-3B'!$D$37,'GSTR-3B'!$D$38,'GSTR-3B'!$E$37,'GSTR-3B'!$E$38,'GSTR-3B'!$F$37,'GSTR-3B'!$F$38,'GSTR-3B'!$C$41,'GSTR-3B'!$C$42,'GSTR-3B'!$D$41,'GSTR-3B'!$D$42,'GSTR-3B'!$E$41,'GSTR-3B'!$E$42,'GSTR-3B'!$F$41,'GSTR-3B'!$F$42</definedName>
    <definedName name="OutwardInwardSuppliesRange">'GSTR-3B'!$C$11,'GSTR-3B'!$D$11,'GSTR-3B'!$E$11,'GSTR-3B'!$F$11,'GSTR-3B'!$G$11,'GSTR-3B'!$C$12,'GSTR-3B'!$D$12,'GSTR-3B'!$G$12,'GSTR-3B'!$C$13,'GSTR-3B'!$C$14,'GSTR-3B'!$D$14,'GSTR-3B'!$E$14,'GSTR-3B'!$F$14,'GSTR-3B'!$G$14,'GSTR-3B'!$C$15</definedName>
    <definedName name="StatesAndUT" localSheetId="0">OFFSET([1]Master!$C$2,0,0,COUNT([1]Master!$B$2:$B$39),1)</definedName>
    <definedName name="StatesAndUT">OFFSET(Master!$C$2,0,0,COUNT(Master!$B$2:$B$39),1)</definedName>
    <definedName name="StateUTRange">'GSTR-3B'!$B$88:$B$124</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2" i="1" l="1"/>
  <c r="E41" i="1"/>
  <c r="E37" i="1"/>
  <c r="E35" i="1"/>
  <c r="E34" i="1"/>
  <c r="E33" i="1"/>
  <c r="F22" i="1"/>
  <c r="F14" i="1"/>
  <c r="F11" i="1"/>
  <c r="D24" i="1" l="1"/>
  <c r="F24" i="1"/>
  <c r="G24" i="1"/>
  <c r="E24" i="1"/>
  <c r="C24" i="1"/>
  <c r="B39" i="11" l="1"/>
  <c r="F39" i="1" l="1"/>
  <c r="D39" i="1"/>
  <c r="C39" i="1"/>
  <c r="E39" i="1" l="1"/>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2" i="11"/>
  <c r="U3" i="11" l="1"/>
  <c r="H125" i="1"/>
  <c r="G125" i="1"/>
  <c r="F125" i="1"/>
  <c r="E125" i="1"/>
  <c r="D125" i="1"/>
  <c r="C125" i="1"/>
  <c r="C2" i="11" a="1"/>
  <c r="U7" i="11" l="1"/>
  <c r="U6" i="11"/>
  <c r="U5" i="11"/>
  <c r="U4" i="11"/>
  <c r="C10" i="11"/>
  <c r="C3" i="11"/>
  <c r="C6" i="11"/>
  <c r="C31" i="11"/>
  <c r="C11" i="11"/>
  <c r="C36" i="11"/>
  <c r="C18" i="11"/>
  <c r="C7" i="11"/>
  <c r="C23" i="11"/>
  <c r="C16" i="11"/>
  <c r="C32" i="11"/>
  <c r="C27" i="11"/>
  <c r="C15" i="11"/>
  <c r="C21" i="11"/>
  <c r="C29" i="11"/>
  <c r="C39" i="11"/>
  <c r="C2" i="11"/>
  <c r="C34" i="11"/>
  <c r="C38" i="11"/>
  <c r="C33" i="11"/>
  <c r="C30" i="11"/>
  <c r="C13" i="11"/>
  <c r="C25" i="11"/>
  <c r="C5" i="11"/>
  <c r="C35" i="11"/>
  <c r="C24" i="11"/>
  <c r="C14" i="11"/>
  <c r="C17" i="11"/>
  <c r="C28" i="11"/>
  <c r="C8" i="11"/>
  <c r="C26" i="11"/>
  <c r="C22" i="11"/>
  <c r="C9" i="11"/>
  <c r="C37" i="11"/>
  <c r="C20" i="11"/>
  <c r="C4" i="11"/>
  <c r="C12" i="11"/>
  <c r="C19" i="11"/>
  <c r="D16" i="1" l="1"/>
  <c r="C76" i="1" l="1"/>
  <c r="C75" i="1"/>
  <c r="C79" i="1" l="1"/>
  <c r="C82" i="1" l="1"/>
  <c r="C81" i="1"/>
  <c r="C80" i="1"/>
  <c r="C74" i="1"/>
  <c r="C77" i="1"/>
  <c r="F16" i="1"/>
  <c r="E16" i="1"/>
  <c r="G16" i="1" l="1"/>
  <c r="E50" i="1" l="1"/>
  <c r="C16" i="1" l="1"/>
</calcChain>
</file>

<file path=xl/sharedStrings.xml><?xml version="1.0" encoding="utf-8"?>
<sst xmlns="http://schemas.openxmlformats.org/spreadsheetml/2006/main" count="169" uniqueCount="120">
  <si>
    <t>Nature of Supplies</t>
  </si>
  <si>
    <t>Total Taxable value</t>
  </si>
  <si>
    <t>Integrated Tax</t>
  </si>
  <si>
    <t>Central Tax</t>
  </si>
  <si>
    <t>State/UT Tax</t>
  </si>
  <si>
    <t>Cess</t>
  </si>
  <si>
    <t>(b) Outward Taxable  supplies  (zero rated )</t>
  </si>
  <si>
    <t>Amount of Integrated Tax</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</si>
  <si>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</si>
  <si>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</si>
  <si>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</si>
  <si>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</si>
  <si>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</si>
  <si>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</si>
  <si>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</si>
  <si>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</si>
  <si>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</si>
  <si>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</si>
  <si>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</si>
  <si>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</si>
  <si>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</si>
  <si>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</si>
  <si>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</si>
  <si>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</si>
  <si>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</si>
  <si>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</si>
  <si>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</si>
  <si>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</si>
  <si>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(4)   Inward supplies from ISD</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</si>
  <si>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</si>
  <si>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</si>
  <si>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</si>
  <si>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</si>
  <si>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</si>
  <si>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</si>
  <si>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</si>
  <si>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</si>
  <si>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</si>
  <si>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</si>
  <si>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</si>
  <si>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</si>
  <si>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</si>
  <si>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</si>
  <si>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</si>
  <si>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</si>
  <si>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</si>
  <si>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</si>
  <si>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</si>
  <si>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</si>
  <si>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</si>
  <si>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</si>
  <si>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</si>
  <si>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</si>
  <si>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</si>
  <si>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</si>
  <si>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</si>
  <si>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</si>
  <si>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</si>
  <si>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</si>
  <si>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</si>
  <si>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</si>
  <si>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</si>
  <si>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</si>
  <si>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</si>
  <si>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</si>
  <si>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</si>
  <si>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</si>
  <si>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</si>
  <si>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</si>
  <si>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t>GSTIN</t>
  </si>
  <si>
    <t>Legal name of the registered person</t>
  </si>
  <si>
    <t>Payment of tax</t>
  </si>
  <si>
    <t>Late fee</t>
  </si>
  <si>
    <t>Non reverse charge</t>
  </si>
  <si>
    <t>Reverse charge</t>
  </si>
  <si>
    <t>Tax paid  TDS/TCS</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</si>
  <si>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</si>
  <si>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</si>
  <si>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</si>
  <si>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</si>
  <si>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</si>
  <si>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</si>
  <si>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</si>
  <si>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</si>
  <si>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</si>
  <si>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</si>
  <si>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</si>
  <si>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</si>
  <si>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</si>
  <si>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</si>
  <si>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</si>
  <si>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</si>
  <si>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</si>
  <si>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34-Puducherry</t>
  </si>
  <si>
    <t>2018-19</t>
  </si>
  <si>
    <t>2017-18</t>
  </si>
  <si>
    <t>2019-20</t>
  </si>
  <si>
    <t>2020-21</t>
  </si>
  <si>
    <t>38-Ladakh</t>
  </si>
  <si>
    <t>26-Dadra and Nagar Haveli and Daman and Diu</t>
  </si>
  <si>
    <t>2021-22</t>
  </si>
  <si>
    <t>2022-23</t>
  </si>
  <si>
    <t>x</t>
  </si>
  <si>
    <t>2023-24</t>
  </si>
  <si>
    <t>3.1.1 Details of supplies notified under section 9(5) of the CGST Act, 2017 and corresponding provision in IGST/UTGST/SGST Acts</t>
  </si>
  <si>
    <t>(i) Taxable supplies on which electronic commerce operator pays tax u/s 9(5)
[to be furnished by electronic commerce operator]</t>
  </si>
  <si>
    <t>(ii) Taxable supplies made by registered person through electronic commerce operator, on which electronic commerce operator is required to pay tax u/s 9(5)
[to be furnished by registered person making supplies through electronic commerce operator]</t>
  </si>
  <si>
    <t>(1) As per Rule 42 &amp; 43 of SGST/CGST rules</t>
  </si>
  <si>
    <t xml:space="preserve">(1)   Import of goods </t>
  </si>
  <si>
    <t>(2)   Import of services</t>
  </si>
  <si>
    <t>(3)   Inward supplies liable to reverse charge
        (other than 1 &amp;2 above)</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</si>
  <si>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3.1.1 Details of supplies notified under section 9(5) of the CGST Act, 2017 and corresponding provision in IGST/UTGST/SGST Acts
       3.2 Of the supplies shown in 3.1 (a) and 3.1.1(i)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</si>
  <si>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Enter details as applicable in Table 3.1.1  'Details of supplies notified under section 9(5) of the CGST Act, 2017 and corresponding provision in IGST/UTGST/SGST Acts'.
10. Please note that only CGST amount need to entered for applicable sections; SGST amount would be populated based on CGST amount. 
11. Enter details as applicable in Table 3.2 'Of the supplies shown in 3.1 (a) and 3.1.1(i) above, details of inter-State supplies made to unregistered persons, composition taxable persons and UIN holders'.
12. Please note the amount entered in Table 3.2 can not be more than amount entered in Table 3.1 (a) and Table 3.1.1(i)
13. Table 3.2 is present as the last table in the GSTR-3B worksheet
14. Enter details as applicable in Table  4 'Eligible ITC'
15. Enter details as applicable in Table  5 'Values of exempt, nil-rated and non-GST inward supplies'
16. Enter details as applicable in Table 5.1 'Interest &amp; late fee payable'. Taxpayer need to enter only interest amount.
17. Click on 'Validate' to validate the GSTR-3B worksheet. Check the status of validation. In case of validation failure; please check for cells that have failed validation and correct errors as per help text
18. Upon successful validation; click 'Generate File' to generate JSON for upload on GST portal </t>
  </si>
  <si>
    <t>2024-25</t>
  </si>
  <si>
    <t>(1) As per rules 38,42 &amp; 43 of CGST Rules and section 17(5)</t>
  </si>
  <si>
    <t>(D) Other Details</t>
  </si>
  <si>
    <t>(1) ITC reclaimed which was reversed under Table 4(B)(2) in earlier tax period</t>
  </si>
  <si>
    <t>(2) Ineligible ITC under section 16(4) &amp; ITC restricted due to PoS rules</t>
  </si>
  <si>
    <t>2025-26</t>
  </si>
  <si>
    <t>3.2  Of the supplies shown in 3.1 (a), details of inter-state supplies made to unregistered persons, composition taxable person and UIN holders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</si>
</sst>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09]\ #,##0.00"/>
  </numFmts>
  <fonts count="38" x14ac:knownFonts="1">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
      <sz val="8"/>
      <name val="Calibri"/>
      <family val="2"/>
      <scheme val="minor"/>
    </font>
    <font>
      <b/>
      <sz val="14"/>
      <color rgb="FFFF0000"/>
      <name val="Calibri Light"/>
      <family val="2"/>
      <scheme val="major"/>
    </font>
    <font>
      <b/>
      <i/>
      <sz val="13"/>
      <color theme="1"/>
      <name val="Calibri Light"/>
      <family val="2"/>
      <scheme val="major"/>
    </font>
  </fonts>
  <fills count="26">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
      <patternFill patternType="solid">
        <fgColor rgb="FFFFFFFF"/>
        <bgColor indexed="64"/>
      </patternFill>
    </fill>
  </fills>
  <borders count="117">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
      <left/>
      <right style="medium">
        <color theme="3" tint="-0.499984740745262"/>
      </right>
      <top style="thin">
        <color theme="3" tint="-0.499984740745262"/>
      </top>
      <bottom/>
      <diagonal/>
    </border>
    <border>
      <left style="medium">
        <color indexed="64"/>
      </left>
      <right/>
      <top style="medium">
        <color theme="3" tint="-0.499984740745262"/>
      </top>
      <bottom style="medium">
        <color theme="3" tint="-0.499984740745262"/>
      </bottom>
      <diagonal/>
    </border>
  </borders>
  <cellStyleXfs count="2">
    <xf numFmtId="0" fontId="0" fillId="0" borderId="0"/>
    <xf numFmtId="9" fontId="31" fillId="0" borderId="0" applyFont="0" applyFill="0" applyBorder="0" applyAlignment="0" applyProtection="0"/>
  </cellStyleXfs>
  <cellXfs count="247">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lignment horizontal="center" vertical="center" wrapText="1"/>
    </xf>
    <xf numFmtId="0" fontId="6" fillId="0" borderId="0" xfId="0" applyFont="1" applyProtection="1">
      <protection locked="0"/>
    </xf>
    <xf numFmtId="0" fontId="6" fillId="4" borderId="55" xfId="0" applyFont="1" applyFill="1" applyBorder="1" applyAlignment="1" applyProtection="1">
      <alignment horizontal="center" vertical="center"/>
      <protection locked="0"/>
    </xf>
    <xf numFmtId="0" fontId="7" fillId="4" borderId="4" xfId="0" applyFont="1" applyFill="1" applyBorder="1" applyAlignment="1" applyProtection="1">
      <alignment horizontal="center" vertical="center"/>
      <protection locked="0"/>
    </xf>
    <xf numFmtId="0" fontId="15" fillId="19" borderId="19" xfId="0" applyFont="1" applyFill="1" applyBorder="1" applyAlignment="1" applyProtection="1">
      <alignment horizontal="center" vertical="center" wrapText="1"/>
      <protection locked="0"/>
    </xf>
    <xf numFmtId="0" fontId="15" fillId="19" borderId="19" xfId="0" applyFont="1" applyFill="1" applyBorder="1" applyAlignment="1" applyProtection="1">
      <alignment vertical="center" wrapText="1"/>
      <protection locked="0"/>
    </xf>
    <xf numFmtId="0" fontId="8" fillId="17" borderId="19" xfId="0" applyFont="1" applyFill="1" applyBorder="1" applyAlignment="1" applyProtection="1">
      <alignment horizontal="center" vertical="center" wrapText="1"/>
      <protection locked="0"/>
    </xf>
    <xf numFmtId="0" fontId="6" fillId="0" borderId="26" xfId="0" applyFont="1" applyBorder="1" applyAlignment="1" applyProtection="1">
      <alignment horizontal="center" vertical="center" wrapText="1"/>
      <protection locked="0"/>
    </xf>
    <xf numFmtId="0" fontId="6" fillId="18" borderId="27" xfId="0" applyFont="1" applyFill="1" applyBorder="1" applyAlignment="1" applyProtection="1">
      <alignment horizontal="center" vertical="center" wrapText="1"/>
      <protection locked="0"/>
    </xf>
    <xf numFmtId="0" fontId="6" fillId="18" borderId="27" xfId="0" applyFont="1" applyFill="1" applyBorder="1" applyProtection="1">
      <protection locked="0"/>
    </xf>
    <xf numFmtId="0" fontId="6" fillId="18" borderId="27" xfId="0" applyFont="1" applyFill="1" applyBorder="1" applyAlignment="1" applyProtection="1">
      <alignment vertical="center" wrapText="1"/>
      <protection locked="0"/>
    </xf>
    <xf numFmtId="0" fontId="6" fillId="18" borderId="28" xfId="0" applyFont="1" applyFill="1" applyBorder="1" applyAlignment="1" applyProtection="1">
      <alignment vertical="center" wrapText="1"/>
      <protection locked="0"/>
    </xf>
    <xf numFmtId="0" fontId="6" fillId="0" borderId="20" xfId="0" applyFont="1" applyBorder="1" applyAlignment="1" applyProtection="1">
      <alignment horizontal="center" vertical="center" wrapText="1"/>
      <protection locked="0"/>
    </xf>
    <xf numFmtId="0" fontId="6" fillId="18" borderId="3" xfId="0" applyFont="1" applyFill="1" applyBorder="1" applyAlignment="1" applyProtection="1">
      <alignment horizontal="center" vertical="center" wrapText="1"/>
      <protection locked="0"/>
    </xf>
    <xf numFmtId="0" fontId="6" fillId="18" borderId="25" xfId="0" applyFont="1" applyFill="1" applyBorder="1" applyAlignment="1" applyProtection="1">
      <alignment horizontal="center" vertical="center" wrapText="1"/>
      <protection locked="0"/>
    </xf>
    <xf numFmtId="0" fontId="8" fillId="17" borderId="3" xfId="0" applyFont="1" applyFill="1" applyBorder="1" applyAlignment="1" applyProtection="1">
      <alignment horizontal="center" vertical="center" wrapText="1"/>
      <protection locked="0"/>
    </xf>
    <xf numFmtId="0" fontId="6" fillId="18" borderId="3" xfId="0" applyFont="1" applyFill="1" applyBorder="1" applyAlignment="1" applyProtection="1">
      <alignment vertical="center" wrapText="1"/>
      <protection locked="0"/>
    </xf>
    <xf numFmtId="0" fontId="6" fillId="18" borderId="21" xfId="0" applyFont="1" applyFill="1" applyBorder="1" applyAlignment="1" applyProtection="1">
      <alignment vertical="center" wrapText="1"/>
      <protection locked="0"/>
    </xf>
    <xf numFmtId="0" fontId="6" fillId="18" borderId="61" xfId="0" applyFont="1" applyFill="1" applyBorder="1" applyAlignment="1" applyProtection="1">
      <alignment horizontal="center" vertical="center" wrapText="1"/>
      <protection locked="0"/>
    </xf>
    <xf numFmtId="0" fontId="6" fillId="18" borderId="62" xfId="0" applyFont="1" applyFill="1" applyBorder="1" applyAlignment="1" applyProtection="1">
      <alignment horizontal="center" vertical="center" wrapText="1"/>
      <protection locked="0"/>
    </xf>
    <xf numFmtId="0" fontId="6" fillId="0" borderId="22" xfId="0" applyFont="1" applyBorder="1" applyAlignment="1" applyProtection="1">
      <alignment horizontal="center" vertical="center" wrapText="1"/>
      <protection locked="0"/>
    </xf>
    <xf numFmtId="0" fontId="6" fillId="18" borderId="23" xfId="0" applyFont="1" applyFill="1" applyBorder="1" applyAlignment="1" applyProtection="1">
      <alignment horizontal="center" vertical="center" wrapText="1"/>
      <protection locked="0"/>
    </xf>
    <xf numFmtId="0" fontId="6" fillId="18" borderId="23" xfId="0" applyFont="1" applyFill="1" applyBorder="1" applyAlignment="1" applyProtection="1">
      <alignment vertical="center" wrapText="1"/>
      <protection locked="0"/>
    </xf>
    <xf numFmtId="0" fontId="6" fillId="18" borderId="24" xfId="0" applyFont="1" applyFill="1" applyBorder="1" applyAlignment="1" applyProtection="1">
      <alignment vertical="center" wrapText="1"/>
      <protection locked="0"/>
    </xf>
    <xf numFmtId="0" fontId="6" fillId="4" borderId="0" xfId="0" applyFont="1" applyFill="1" applyAlignment="1" applyProtection="1">
      <alignment horizontal="center"/>
      <protection locked="0"/>
    </xf>
    <xf numFmtId="0" fontId="6" fillId="4" borderId="0" xfId="0" applyFont="1" applyFill="1" applyProtection="1">
      <protection locked="0"/>
    </xf>
    <xf numFmtId="0" fontId="22" fillId="3" borderId="2" xfId="0" applyFont="1" applyFill="1" applyBorder="1" applyAlignment="1" applyProtection="1">
      <alignment horizontal="center" vertical="center" wrapText="1"/>
      <protection locked="0"/>
    </xf>
    <xf numFmtId="0" fontId="8" fillId="16" borderId="1" xfId="0"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7" fillId="0" borderId="36" xfId="0" applyFont="1" applyBorder="1" applyAlignment="1" applyProtection="1">
      <alignment horizontal="center" vertical="center" wrapText="1"/>
      <protection locked="0"/>
    </xf>
    <xf numFmtId="0" fontId="23" fillId="2" borderId="36" xfId="0" applyFont="1" applyFill="1" applyBorder="1" applyAlignment="1" applyProtection="1">
      <alignment horizontal="center" vertical="center" wrapText="1"/>
      <protection locked="0"/>
    </xf>
    <xf numFmtId="0" fontId="6" fillId="0" borderId="73" xfId="0" applyFont="1" applyBorder="1" applyAlignment="1" applyProtection="1">
      <alignment vertical="center" wrapText="1"/>
      <protection locked="0"/>
    </xf>
    <xf numFmtId="0" fontId="6" fillId="0" borderId="27" xfId="0" applyFont="1" applyBorder="1" applyAlignment="1" applyProtection="1">
      <alignment vertical="center" wrapText="1"/>
      <protection locked="0"/>
    </xf>
    <xf numFmtId="0" fontId="6" fillId="0" borderId="89" xfId="0" applyFont="1" applyBorder="1" applyAlignment="1" applyProtection="1">
      <alignment vertical="center" wrapText="1"/>
      <protection locked="0"/>
    </xf>
    <xf numFmtId="0" fontId="6" fillId="0" borderId="36" xfId="0" applyFont="1" applyBorder="1" applyAlignment="1" applyProtection="1">
      <alignment vertical="center" wrapText="1"/>
      <protection locked="0"/>
    </xf>
    <xf numFmtId="0" fontId="6" fillId="16" borderId="5" xfId="0" applyFont="1" applyFill="1" applyBorder="1" applyAlignment="1" applyProtection="1">
      <alignment vertical="center" wrapText="1"/>
      <protection locked="0"/>
    </xf>
    <xf numFmtId="0" fontId="7" fillId="0" borderId="74" xfId="0" applyFont="1" applyBorder="1" applyAlignment="1" applyProtection="1">
      <alignment horizontal="center" vertical="center" wrapText="1"/>
      <protection locked="0"/>
    </xf>
    <xf numFmtId="0" fontId="23" fillId="2" borderId="85" xfId="0" applyFont="1" applyFill="1" applyBorder="1" applyAlignment="1" applyProtection="1">
      <alignment horizontal="center" vertical="center" wrapText="1"/>
      <protection locked="0"/>
    </xf>
    <xf numFmtId="0" fontId="6" fillId="0" borderId="62" xfId="0" applyFont="1" applyBorder="1" applyAlignment="1" applyProtection="1">
      <alignment vertical="center" wrapText="1"/>
      <protection locked="0"/>
    </xf>
    <xf numFmtId="0" fontId="6" fillId="0" borderId="0" xfId="0" applyFont="1" applyAlignment="1" applyProtection="1">
      <alignment vertical="center" wrapText="1"/>
      <protection locked="0"/>
    </xf>
    <xf numFmtId="0" fontId="6" fillId="16" borderId="0" xfId="0" applyFont="1" applyFill="1" applyAlignment="1" applyProtection="1">
      <alignment vertical="center" wrapText="1"/>
      <protection locked="0"/>
    </xf>
    <xf numFmtId="0" fontId="6" fillId="0" borderId="61" xfId="0" applyFont="1" applyBorder="1" applyAlignment="1" applyProtection="1">
      <alignment vertical="center" wrapText="1"/>
      <protection locked="0"/>
    </xf>
    <xf numFmtId="0" fontId="6" fillId="0" borderId="85" xfId="0" applyFont="1" applyBorder="1" applyAlignment="1" applyProtection="1">
      <alignment vertical="center" wrapText="1"/>
      <protection locked="0"/>
    </xf>
    <xf numFmtId="0" fontId="6" fillId="0" borderId="90" xfId="0" applyFont="1" applyBorder="1" applyAlignment="1" applyProtection="1">
      <alignment vertical="center" wrapText="1"/>
      <protection locked="0"/>
    </xf>
    <xf numFmtId="0" fontId="6" fillId="0" borderId="91" xfId="0" applyFont="1" applyBorder="1" applyAlignment="1" applyProtection="1">
      <alignment vertical="center" wrapText="1"/>
      <protection locked="0"/>
    </xf>
    <xf numFmtId="0" fontId="7" fillId="0" borderId="37" xfId="0" applyFont="1" applyBorder="1" applyAlignment="1" applyProtection="1">
      <alignment horizontal="center" vertical="center" wrapText="1"/>
      <protection locked="0"/>
    </xf>
    <xf numFmtId="0" fontId="23" fillId="2" borderId="1" xfId="0" applyFont="1" applyFill="1" applyBorder="1" applyAlignment="1" applyProtection="1">
      <alignment horizontal="center" vertical="center" wrapText="1"/>
      <protection locked="0"/>
    </xf>
    <xf numFmtId="0" fontId="6" fillId="0" borderId="23" xfId="0" applyFont="1" applyBorder="1" applyAlignment="1" applyProtection="1">
      <alignment vertical="center" wrapText="1"/>
      <protection locked="0"/>
    </xf>
    <xf numFmtId="0" fontId="6" fillId="0" borderId="80" xfId="0" applyFont="1" applyBorder="1" applyAlignment="1" applyProtection="1">
      <alignment vertical="center" wrapText="1"/>
      <protection locked="0"/>
    </xf>
    <xf numFmtId="0" fontId="6" fillId="0" borderId="1" xfId="0" applyFont="1" applyBorder="1" applyAlignment="1" applyProtection="1">
      <alignment vertical="center" wrapText="1"/>
      <protection locked="0"/>
    </xf>
    <xf numFmtId="0" fontId="6" fillId="16" borderId="2" xfId="0" applyFont="1" applyFill="1" applyBorder="1" applyAlignment="1" applyProtection="1">
      <alignment vertical="center" wrapText="1"/>
      <protection locked="0"/>
    </xf>
    <xf numFmtId="0" fontId="6" fillId="0" borderId="81" xfId="0" applyFont="1" applyBorder="1" applyAlignment="1" applyProtection="1">
      <alignment vertical="center" wrapText="1"/>
      <protection locked="0"/>
    </xf>
    <xf numFmtId="0" fontId="23" fillId="2" borderId="74" xfId="0" applyFont="1" applyFill="1" applyBorder="1" applyAlignment="1" applyProtection="1">
      <alignment horizontal="center" vertical="center" wrapText="1"/>
      <protection locked="0"/>
    </xf>
    <xf numFmtId="0" fontId="23" fillId="2" borderId="37" xfId="0" applyFont="1" applyFill="1" applyBorder="1" applyAlignment="1" applyProtection="1">
      <alignment horizontal="center" vertical="center" wrapText="1"/>
      <protection locked="0"/>
    </xf>
    <xf numFmtId="0" fontId="17" fillId="7" borderId="54" xfId="0" applyFont="1" applyFill="1" applyBorder="1" applyAlignment="1">
      <alignment horizontal="center" vertical="center"/>
    </xf>
    <xf numFmtId="0" fontId="17" fillId="7" borderId="58" xfId="0" applyFont="1" applyFill="1" applyBorder="1" applyAlignment="1">
      <alignment horizontal="center" vertical="center"/>
    </xf>
    <xf numFmtId="0" fontId="16" fillId="10" borderId="6" xfId="0" applyFont="1" applyFill="1" applyBorder="1" applyAlignment="1">
      <alignment horizontal="center" vertical="center" wrapText="1"/>
    </xf>
    <xf numFmtId="0" fontId="16" fillId="10" borderId="5" xfId="0" applyFont="1" applyFill="1" applyBorder="1" applyAlignment="1">
      <alignment horizontal="center" vertical="center" wrapText="1"/>
    </xf>
    <xf numFmtId="0" fontId="11" fillId="11" borderId="96" xfId="0" applyFont="1" applyFill="1" applyBorder="1" applyAlignment="1">
      <alignment horizontal="center" vertical="center" wrapText="1"/>
    </xf>
    <xf numFmtId="0" fontId="11" fillId="11" borderId="97" xfId="0" applyFont="1" applyFill="1" applyBorder="1" applyAlignment="1">
      <alignment horizontal="center" vertical="center" wrapText="1"/>
    </xf>
    <xf numFmtId="0" fontId="11" fillId="11" borderId="98" xfId="0" applyFont="1" applyFill="1" applyBorder="1" applyAlignment="1">
      <alignment horizontal="center" vertical="center" wrapText="1"/>
    </xf>
    <xf numFmtId="0" fontId="6" fillId="0" borderId="94" xfId="0" applyFont="1" applyBorder="1" applyAlignment="1">
      <alignment vertical="center" wrapText="1"/>
    </xf>
    <xf numFmtId="0" fontId="6" fillId="0" borderId="92" xfId="0" applyFont="1" applyBorder="1" applyAlignment="1">
      <alignment vertical="center" wrapText="1"/>
    </xf>
    <xf numFmtId="0" fontId="6" fillId="0" borderId="93" xfId="0" applyFont="1" applyBorder="1" applyAlignment="1">
      <alignment vertical="center" wrapText="1"/>
    </xf>
    <xf numFmtId="0" fontId="12" fillId="3" borderId="99" xfId="0" applyFont="1" applyFill="1" applyBorder="1" applyAlignment="1">
      <alignment horizontal="center" vertical="center" wrapText="1"/>
    </xf>
    <xf numFmtId="0" fontId="15" fillId="16" borderId="19" xfId="0" applyFont="1" applyFill="1" applyBorder="1" applyAlignment="1">
      <alignment horizontal="center" vertical="center" wrapText="1"/>
    </xf>
    <xf numFmtId="0" fontId="15" fillId="16" borderId="53" xfId="0" applyFont="1" applyFill="1" applyBorder="1" applyAlignment="1">
      <alignment horizontal="center" vertical="center" wrapText="1"/>
    </xf>
    <xf numFmtId="0" fontId="11" fillId="9" borderId="19" xfId="0" applyFont="1" applyFill="1" applyBorder="1" applyAlignment="1">
      <alignment horizontal="center" vertical="center" wrapText="1"/>
    </xf>
    <xf numFmtId="0" fontId="11" fillId="9" borderId="53" xfId="0" applyFont="1" applyFill="1" applyBorder="1" applyAlignment="1">
      <alignment horizontal="center" vertical="center" wrapText="1"/>
    </xf>
    <xf numFmtId="0" fontId="4" fillId="0" borderId="51" xfId="0" applyFont="1" applyBorder="1" applyAlignment="1">
      <alignment vertical="center" wrapText="1"/>
    </xf>
    <xf numFmtId="0" fontId="6" fillId="0" borderId="11"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52" xfId="0" applyFont="1" applyBorder="1" applyAlignment="1">
      <alignment horizontal="center" vertical="center" wrapText="1"/>
    </xf>
    <xf numFmtId="0" fontId="6" fillId="0" borderId="48" xfId="0" applyFont="1" applyBorder="1" applyAlignment="1">
      <alignment horizontal="left" vertical="center" wrapText="1" indent="3"/>
    </xf>
    <xf numFmtId="0" fontId="6" fillId="0" borderId="49" xfId="0" applyFont="1" applyBorder="1" applyAlignment="1">
      <alignment horizontal="left" vertical="center" wrapText="1" indent="3"/>
    </xf>
    <xf numFmtId="0" fontId="6" fillId="0" borderId="64" xfId="0" applyFont="1" applyBorder="1" applyAlignment="1">
      <alignment vertical="center" wrapText="1"/>
    </xf>
    <xf numFmtId="0" fontId="6" fillId="0" borderId="68" xfId="0" applyFont="1" applyBorder="1" applyAlignment="1">
      <alignment horizontal="left" vertical="center" wrapText="1" indent="3"/>
    </xf>
    <xf numFmtId="0" fontId="6" fillId="3" borderId="69" xfId="0" applyFont="1" applyFill="1" applyBorder="1" applyAlignment="1">
      <alignment vertical="center" wrapText="1"/>
    </xf>
    <xf numFmtId="0" fontId="17" fillId="7" borderId="2" xfId="0" applyFont="1" applyFill="1" applyBorder="1" applyAlignment="1">
      <alignment horizontal="center" vertical="center" wrapText="1"/>
    </xf>
    <xf numFmtId="0" fontId="11" fillId="8" borderId="5" xfId="0" applyFont="1" applyFill="1" applyBorder="1" applyAlignment="1">
      <alignment horizontal="center" vertical="center" wrapText="1"/>
    </xf>
    <xf numFmtId="0" fontId="20" fillId="22" borderId="19" xfId="0" applyFont="1" applyFill="1" applyBorder="1" applyAlignment="1">
      <alignment horizontal="center" vertical="center"/>
    </xf>
    <xf numFmtId="0" fontId="20" fillId="22" borderId="53" xfId="0" applyFont="1" applyFill="1" applyBorder="1" applyAlignment="1">
      <alignment horizontal="center" vertical="center"/>
    </xf>
    <xf numFmtId="0" fontId="20" fillId="22" borderId="19" xfId="0" applyFont="1" applyFill="1" applyBorder="1" applyAlignment="1">
      <alignment horizontal="center"/>
    </xf>
    <xf numFmtId="0" fontId="20" fillId="22" borderId="53" xfId="0" applyFont="1" applyFill="1" applyBorder="1" applyAlignment="1">
      <alignment horizontal="center"/>
    </xf>
    <xf numFmtId="0" fontId="19" fillId="21" borderId="6" xfId="0" applyFont="1" applyFill="1" applyBorder="1" applyAlignment="1">
      <alignment horizontal="center"/>
    </xf>
    <xf numFmtId="0" fontId="19" fillId="21" borderId="73" xfId="0" applyFont="1" applyFill="1" applyBorder="1" applyAlignment="1">
      <alignment horizontal="center"/>
    </xf>
    <xf numFmtId="0" fontId="19" fillId="21" borderId="27" xfId="0" applyFont="1" applyFill="1" applyBorder="1" applyAlignment="1">
      <alignment horizontal="center"/>
    </xf>
    <xf numFmtId="0" fontId="19" fillId="21" borderId="28" xfId="0" applyFont="1" applyFill="1" applyBorder="1" applyAlignment="1">
      <alignment horizontal="center"/>
    </xf>
    <xf numFmtId="0" fontId="15" fillId="15" borderId="19" xfId="0" applyFont="1" applyFill="1" applyBorder="1" applyAlignment="1">
      <alignment horizontal="center" vertical="center" wrapText="1"/>
    </xf>
    <xf numFmtId="0" fontId="6" fillId="0" borderId="0" xfId="0" applyFont="1"/>
    <xf numFmtId="0" fontId="6" fillId="4" borderId="0" xfId="0" applyFont="1" applyFill="1"/>
    <xf numFmtId="0" fontId="4" fillId="0" borderId="0" xfId="0" applyFont="1"/>
    <xf numFmtId="0" fontId="27" fillId="0" borderId="0" xfId="0" applyFont="1"/>
    <xf numFmtId="0" fontId="5" fillId="0" borderId="0" xfId="0" applyFont="1" applyAlignment="1">
      <alignment horizontal="center" vertical="center"/>
    </xf>
    <xf numFmtId="0" fontId="7" fillId="0" borderId="0" xfId="0" applyFont="1" applyAlignment="1">
      <alignment horizontal="center" vertical="center"/>
    </xf>
    <xf numFmtId="0" fontId="10" fillId="4" borderId="0" xfId="0" applyFont="1" applyFill="1" applyAlignment="1">
      <alignment horizontal="center"/>
    </xf>
    <xf numFmtId="0" fontId="6" fillId="0" borderId="65" xfId="0" applyFont="1" applyBorder="1" applyAlignment="1">
      <alignment horizontal="center" vertical="center" wrapText="1"/>
    </xf>
    <xf numFmtId="0" fontId="6" fillId="0" borderId="66" xfId="0" applyFont="1" applyBorder="1" applyAlignment="1">
      <alignment horizontal="center" vertical="center" wrapText="1"/>
    </xf>
    <xf numFmtId="0" fontId="6" fillId="0" borderId="67" xfId="0" applyFont="1" applyBorder="1" applyAlignment="1">
      <alignment horizontal="center" vertical="center" wrapText="1"/>
    </xf>
    <xf numFmtId="0" fontId="29" fillId="0" borderId="0" xfId="0" applyFont="1"/>
    <xf numFmtId="0" fontId="4" fillId="0" borderId="71" xfId="0" applyFont="1" applyBorder="1" applyAlignment="1">
      <alignment horizontal="center" vertical="center"/>
    </xf>
    <xf numFmtId="0" fontId="6" fillId="0" borderId="1" xfId="0" applyFont="1" applyBorder="1" applyAlignment="1">
      <alignment horizontal="center"/>
    </xf>
    <xf numFmtId="0" fontId="6" fillId="21" borderId="88" xfId="0" applyFont="1" applyFill="1" applyBorder="1" applyProtection="1">
      <protection locked="0"/>
    </xf>
    <xf numFmtId="0" fontId="23" fillId="22" borderId="35" xfId="0" applyFont="1" applyFill="1" applyBorder="1" applyProtection="1">
      <protection locked="0"/>
    </xf>
    <xf numFmtId="0" fontId="6" fillId="21" borderId="114" xfId="0" applyFont="1" applyFill="1" applyBorder="1" applyProtection="1">
      <protection locked="0"/>
    </xf>
    <xf numFmtId="0" fontId="9" fillId="0" borderId="37" xfId="0" applyFont="1" applyBorder="1" applyAlignment="1">
      <alignment horizontal="center"/>
    </xf>
    <xf numFmtId="0" fontId="9" fillId="14" borderId="1" xfId="0" applyFont="1" applyFill="1" applyBorder="1" applyAlignment="1">
      <alignment horizontal="center" vertical="center"/>
    </xf>
    <xf numFmtId="0" fontId="23" fillId="23" borderId="3" xfId="0" applyFont="1" applyFill="1" applyBorder="1" applyAlignment="1" applyProtection="1">
      <alignment horizontal="left" vertical="top" wrapText="1"/>
      <protection locked="0"/>
    </xf>
    <xf numFmtId="0" fontId="6" fillId="4" borderId="0" xfId="0" applyFont="1" applyFill="1" applyAlignment="1">
      <alignment horizontal="center"/>
    </xf>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lignment horizontal="right" vertical="center" shrinkToFit="1"/>
    </xf>
    <xf numFmtId="164" fontId="23" fillId="12" borderId="91" xfId="0" applyNumberFormat="1" applyFont="1" applyFill="1" applyBorder="1" applyAlignment="1">
      <alignment horizontal="right" vertical="center" shrinkToFit="1"/>
    </xf>
    <xf numFmtId="164" fontId="12" fillId="3" borderId="101" xfId="0" applyNumberFormat="1" applyFont="1" applyFill="1" applyBorder="1" applyAlignment="1">
      <alignment horizontal="right" vertical="center" shrinkToFit="1"/>
    </xf>
    <xf numFmtId="164" fontId="12" fillId="3" borderId="102" xfId="0" applyNumberFormat="1" applyFont="1" applyFill="1" applyBorder="1" applyAlignment="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lignment horizontal="right" vertical="center" shrinkToFit="1"/>
    </xf>
    <xf numFmtId="164" fontId="4" fillId="3" borderId="17" xfId="0" applyNumberFormat="1" applyFont="1" applyFill="1" applyBorder="1" applyAlignment="1">
      <alignment horizontal="right" vertical="center" shrinkToFit="1"/>
    </xf>
    <xf numFmtId="164" fontId="4" fillId="3" borderId="8" xfId="0" applyNumberFormat="1" applyFont="1" applyFill="1" applyBorder="1" applyAlignment="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lignment horizontal="right" vertical="center" shrinkToFit="1"/>
    </xf>
    <xf numFmtId="164" fontId="4" fillId="3" borderId="41" xfId="0" applyNumberFormat="1" applyFont="1" applyFill="1" applyBorder="1" applyAlignment="1">
      <alignment horizontal="right" vertical="center" shrinkToFit="1"/>
    </xf>
    <xf numFmtId="164" fontId="23" fillId="22" borderId="75" xfId="0" applyNumberFormat="1" applyFont="1" applyFill="1" applyBorder="1" applyAlignment="1" applyProtection="1">
      <alignment shrinkToFit="1"/>
      <protection locked="0"/>
    </xf>
    <xf numFmtId="164" fontId="4" fillId="0" borderId="19" xfId="0" applyNumberFormat="1" applyFont="1" applyBorder="1" applyAlignment="1">
      <alignment horizontal="right" vertical="center" shrinkToFit="1"/>
    </xf>
    <xf numFmtId="164" fontId="4" fillId="0" borderId="53" xfId="0" applyNumberFormat="1" applyFont="1" applyBorder="1" applyAlignment="1">
      <alignment horizontal="right" vertical="center" shrinkToFit="1"/>
    </xf>
    <xf numFmtId="0" fontId="6" fillId="0" borderId="48" xfId="0" applyFont="1" applyBorder="1" applyAlignment="1" applyProtection="1">
      <alignment horizontal="left" vertical="center" wrapText="1" indent="3"/>
      <protection locked="0"/>
    </xf>
    <xf numFmtId="0" fontId="4" fillId="0" borderId="51" xfId="0" applyFont="1" applyBorder="1" applyAlignment="1" applyProtection="1">
      <alignment vertical="center" wrapText="1"/>
      <protection locked="0"/>
    </xf>
    <xf numFmtId="0" fontId="6" fillId="0" borderId="49" xfId="0" applyFont="1" applyBorder="1" applyAlignment="1" applyProtection="1">
      <alignment horizontal="left" vertical="center" wrapText="1" indent="3"/>
      <protection locked="0"/>
    </xf>
    <xf numFmtId="0" fontId="37" fillId="10" borderId="6" xfId="0" applyFont="1" applyFill="1" applyBorder="1" applyAlignment="1">
      <alignment horizontal="center" vertical="center" wrapText="1"/>
    </xf>
    <xf numFmtId="0" fontId="37" fillId="10" borderId="5" xfId="0" applyFont="1" applyFill="1" applyBorder="1" applyAlignment="1">
      <alignment horizontal="center" vertical="center" wrapText="1"/>
    </xf>
    <xf numFmtId="0" fontId="6" fillId="0" borderId="93" xfId="0" applyFont="1" applyBorder="1" applyAlignment="1">
      <alignment vertical="top" wrapText="1"/>
    </xf>
    <xf numFmtId="0" fontId="4" fillId="3" borderId="99" xfId="0" applyFont="1" applyFill="1" applyBorder="1" applyAlignment="1">
      <alignment horizontal="center" vertical="center" wrapText="1"/>
    </xf>
    <xf numFmtId="164" fontId="4" fillId="3" borderId="100" xfId="0" applyNumberFormat="1" applyFont="1" applyFill="1" applyBorder="1" applyAlignment="1">
      <alignment horizontal="right" vertical="center" shrinkToFit="1"/>
    </xf>
    <xf numFmtId="164" fontId="4" fillId="3" borderId="116" xfId="0" applyNumberFormat="1" applyFont="1" applyFill="1" applyBorder="1" applyAlignment="1">
      <alignment horizontal="right" vertical="center" shrinkToFit="1"/>
    </xf>
    <xf numFmtId="164" fontId="23" fillId="25" borderId="18" xfId="0" applyNumberFormat="1" applyFont="1" applyFill="1" applyBorder="1" applyAlignment="1" applyProtection="1">
      <alignment shrinkToFit="1"/>
      <protection locked="0"/>
    </xf>
    <xf numFmtId="0" fontId="13" fillId="0" borderId="42" xfId="0" applyFont="1" applyBorder="1" applyAlignment="1">
      <alignment horizontal="center" vertical="center" wrapText="1"/>
    </xf>
    <xf numFmtId="0" fontId="36" fillId="0" borderId="43" xfId="0" applyFont="1" applyBorder="1" applyAlignment="1">
      <alignment horizontal="center" vertical="center" wrapText="1"/>
    </xf>
    <xf numFmtId="0" fontId="36" fillId="0" borderId="44" xfId="0" applyFont="1" applyBorder="1" applyAlignment="1">
      <alignment horizontal="center" vertical="center" wrapText="1"/>
    </xf>
    <xf numFmtId="0" fontId="21" fillId="11" borderId="109" xfId="0" applyFont="1" applyFill="1" applyBorder="1" applyAlignment="1">
      <alignment horizontal="center" vertical="center" wrapText="1"/>
    </xf>
    <xf numFmtId="0" fontId="21" fillId="11" borderId="110" xfId="0" applyFont="1" applyFill="1" applyBorder="1" applyAlignment="1">
      <alignment horizontal="center" vertical="center" wrapText="1"/>
    </xf>
    <xf numFmtId="0" fontId="21" fillId="11" borderId="115" xfId="0" applyFont="1" applyFill="1" applyBorder="1" applyAlignment="1">
      <alignment horizontal="center" vertical="center" wrapText="1"/>
    </xf>
    <xf numFmtId="0" fontId="13" fillId="3" borderId="71" xfId="0" applyFont="1" applyFill="1" applyBorder="1" applyAlignment="1" applyProtection="1">
      <alignment horizontal="center" vertical="center" wrapText="1"/>
      <protection locked="0"/>
    </xf>
    <xf numFmtId="0" fontId="13" fillId="3" borderId="72"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0" borderId="15" xfId="0" applyFont="1" applyBorder="1" applyAlignment="1">
      <alignment horizontal="left" vertical="center" wrapText="1"/>
    </xf>
    <xf numFmtId="0" fontId="13" fillId="0" borderId="38" xfId="0" applyFont="1" applyBorder="1" applyAlignment="1">
      <alignment horizontal="left" vertical="center" wrapText="1"/>
    </xf>
    <xf numFmtId="0" fontId="13" fillId="0" borderId="16" xfId="0" applyFont="1" applyBorder="1" applyAlignment="1">
      <alignment horizontal="left" vertical="center" wrapText="1"/>
    </xf>
    <xf numFmtId="0" fontId="16" fillId="14" borderId="29" xfId="0" applyFont="1" applyFill="1" applyBorder="1" applyAlignment="1">
      <alignment horizontal="center" vertical="center" wrapText="1"/>
    </xf>
    <xf numFmtId="0" fontId="16" fillId="14" borderId="31" xfId="0" applyFont="1" applyFill="1" applyBorder="1" applyAlignment="1">
      <alignment horizontal="center" vertical="center" wrapText="1"/>
    </xf>
    <xf numFmtId="0" fontId="18" fillId="14" borderId="6" xfId="0" applyFont="1" applyFill="1" applyBorder="1" applyAlignment="1">
      <alignment horizontal="center" vertical="center"/>
    </xf>
    <xf numFmtId="0" fontId="18" fillId="14" borderId="1" xfId="0" applyFont="1" applyFill="1" applyBorder="1" applyAlignment="1">
      <alignment horizontal="center" vertical="center"/>
    </xf>
    <xf numFmtId="0" fontId="22" fillId="3" borderId="63" xfId="0" applyFont="1" applyFill="1" applyBorder="1" applyAlignment="1" applyProtection="1">
      <alignment horizontal="center" vertical="center" wrapText="1"/>
      <protection locked="0"/>
    </xf>
    <xf numFmtId="0" fontId="22" fillId="3" borderId="1" xfId="0" applyFont="1" applyFill="1" applyBorder="1" applyAlignment="1" applyProtection="1">
      <alignment horizontal="center" vertical="center" wrapText="1"/>
      <protection locked="0"/>
    </xf>
    <xf numFmtId="0" fontId="22" fillId="3" borderId="71" xfId="0" applyFont="1" applyFill="1" applyBorder="1" applyAlignment="1" applyProtection="1">
      <alignment horizontal="center" vertical="center" wrapText="1"/>
      <protection locked="0"/>
    </xf>
    <xf numFmtId="0" fontId="22" fillId="3" borderId="72" xfId="0" applyFont="1" applyFill="1" applyBorder="1" applyAlignment="1" applyProtection="1">
      <alignment horizontal="center" vertical="center" wrapText="1"/>
      <protection locked="0"/>
    </xf>
    <xf numFmtId="0" fontId="22" fillId="3" borderId="53" xfId="0" applyFont="1" applyFill="1" applyBorder="1" applyAlignment="1" applyProtection="1">
      <alignment horizontal="center" vertical="center" wrapText="1"/>
      <protection locked="0"/>
    </xf>
    <xf numFmtId="0" fontId="13" fillId="4" borderId="71" xfId="0" applyFont="1" applyFill="1" applyBorder="1" applyAlignment="1" applyProtection="1">
      <alignment horizontal="center" vertical="center"/>
      <protection locked="0"/>
    </xf>
    <xf numFmtId="0" fontId="13" fillId="4" borderId="72" xfId="0" applyFont="1" applyFill="1" applyBorder="1" applyAlignment="1" applyProtection="1">
      <alignment horizontal="center" vertical="center"/>
      <protection locked="0"/>
    </xf>
    <xf numFmtId="0" fontId="13" fillId="4" borderId="53" xfId="0" applyFont="1" applyFill="1" applyBorder="1" applyAlignment="1" applyProtection="1">
      <alignment horizontal="center" vertical="center"/>
      <protection locked="0"/>
    </xf>
    <xf numFmtId="0" fontId="13" fillId="0" borderId="42" xfId="0" applyFont="1" applyBorder="1" applyAlignment="1">
      <alignment horizontal="center" vertical="center"/>
    </xf>
    <xf numFmtId="0" fontId="13" fillId="0" borderId="43" xfId="0" applyFont="1" applyBorder="1" applyAlignment="1">
      <alignment horizontal="center" vertical="center"/>
    </xf>
    <xf numFmtId="0" fontId="13" fillId="0" borderId="44" xfId="0" applyFont="1" applyBorder="1" applyAlignment="1">
      <alignment horizontal="center" vertical="center"/>
    </xf>
    <xf numFmtId="0" fontId="13" fillId="0" borderId="71" xfId="0" applyFont="1" applyBorder="1" applyAlignment="1">
      <alignment horizontal="center" vertical="center"/>
    </xf>
    <xf numFmtId="0" fontId="13" fillId="0" borderId="72" xfId="0" applyFont="1" applyBorder="1" applyAlignment="1">
      <alignment horizontal="center" vertical="center"/>
    </xf>
    <xf numFmtId="0" fontId="13" fillId="0" borderId="53" xfId="0" applyFont="1" applyBorder="1" applyAlignment="1">
      <alignment horizontal="center" vertical="center"/>
    </xf>
    <xf numFmtId="0" fontId="8" fillId="17" borderId="23" xfId="0" applyFont="1" applyFill="1" applyBorder="1" applyAlignment="1" applyProtection="1">
      <alignment horizontal="center" vertical="center" wrapText="1"/>
      <protection locked="0"/>
    </xf>
    <xf numFmtId="0" fontId="8" fillId="17" borderId="35" xfId="0" applyFont="1" applyFill="1" applyBorder="1" applyAlignment="1" applyProtection="1">
      <alignment horizontal="center" vertical="center" wrapText="1"/>
      <protection locked="0"/>
    </xf>
    <xf numFmtId="0" fontId="15" fillId="19" borderId="36" xfId="0" applyFont="1" applyFill="1" applyBorder="1" applyAlignment="1" applyProtection="1">
      <alignment horizontal="center" vertical="center" wrapText="1"/>
      <protection locked="0"/>
    </xf>
    <xf numFmtId="0" fontId="15" fillId="19" borderId="37" xfId="0" applyFont="1" applyFill="1" applyBorder="1" applyAlignment="1" applyProtection="1">
      <alignment horizontal="center" vertical="center" wrapText="1"/>
      <protection locked="0"/>
    </xf>
    <xf numFmtId="0" fontId="6" fillId="11" borderId="107" xfId="0" applyFont="1" applyFill="1" applyBorder="1" applyAlignment="1">
      <alignment horizontal="center" vertical="center" wrapText="1"/>
    </xf>
    <xf numFmtId="0" fontId="6" fillId="11" borderId="108" xfId="0" applyFont="1" applyFill="1" applyBorder="1" applyAlignment="1">
      <alignment horizontal="center" vertical="center" wrapText="1"/>
    </xf>
    <xf numFmtId="0" fontId="6" fillId="11" borderId="103" xfId="0" applyFont="1" applyFill="1" applyBorder="1" applyAlignment="1">
      <alignment horizontal="center" vertical="center" wrapText="1"/>
    </xf>
    <xf numFmtId="0" fontId="6" fillId="11" borderId="106" xfId="0" applyFont="1" applyFill="1" applyBorder="1" applyAlignment="1">
      <alignment horizontal="center" vertical="center" wrapText="1"/>
    </xf>
    <xf numFmtId="0" fontId="6" fillId="11" borderId="104" xfId="0" applyFont="1" applyFill="1" applyBorder="1" applyAlignment="1">
      <alignment horizontal="center" vertical="center" wrapText="1"/>
    </xf>
    <xf numFmtId="0" fontId="6" fillId="11" borderId="109" xfId="0" applyFont="1" applyFill="1" applyBorder="1" applyAlignment="1">
      <alignment horizontal="center" vertical="center" wrapText="1"/>
    </xf>
    <xf numFmtId="0" fontId="6" fillId="11" borderId="110" xfId="0" applyFont="1" applyFill="1" applyBorder="1" applyAlignment="1">
      <alignment horizontal="center" vertical="center" wrapText="1"/>
    </xf>
    <xf numFmtId="0" fontId="6" fillId="11" borderId="111" xfId="0" applyFont="1" applyFill="1" applyBorder="1" applyAlignment="1">
      <alignment horizontal="center" vertical="center" wrapText="1"/>
    </xf>
    <xf numFmtId="0" fontId="9" fillId="9" borderId="112" xfId="0" applyFont="1" applyFill="1" applyBorder="1" applyAlignment="1">
      <alignment horizontal="center" vertical="center" wrapText="1"/>
    </xf>
    <xf numFmtId="0" fontId="9" fillId="9" borderId="113" xfId="0" applyFont="1" applyFill="1" applyBorder="1" applyAlignment="1">
      <alignment horizontal="center" vertical="center" wrapText="1"/>
    </xf>
    <xf numFmtId="0" fontId="9" fillId="9" borderId="10" xfId="0" applyFont="1" applyFill="1" applyBorder="1" applyAlignment="1">
      <alignment horizontal="center" vertical="center" wrapText="1"/>
    </xf>
    <xf numFmtId="0" fontId="9" fillId="9" borderId="11" xfId="0" applyFont="1" applyFill="1" applyBorder="1" applyAlignment="1">
      <alignment horizontal="center" vertical="center" wrapText="1"/>
    </xf>
    <xf numFmtId="0" fontId="15" fillId="19" borderId="29" xfId="0" applyFont="1" applyFill="1" applyBorder="1" applyAlignment="1" applyProtection="1">
      <alignment horizontal="center" vertical="center" wrapText="1"/>
      <protection locked="0"/>
    </xf>
    <xf numFmtId="0" fontId="15" fillId="19" borderId="30" xfId="0" applyFont="1" applyFill="1" applyBorder="1" applyAlignment="1" applyProtection="1">
      <alignment horizontal="center" vertical="center" wrapText="1"/>
      <protection locked="0"/>
    </xf>
    <xf numFmtId="0" fontId="15" fillId="19" borderId="31" xfId="0" applyFont="1" applyFill="1" applyBorder="1" applyAlignment="1" applyProtection="1">
      <alignment horizontal="center" vertical="center" wrapText="1"/>
      <protection locked="0"/>
    </xf>
    <xf numFmtId="0" fontId="4" fillId="3" borderId="39" xfId="0" applyFont="1" applyFill="1" applyBorder="1" applyAlignment="1">
      <alignment horizontal="center" vertical="center" wrapText="1"/>
    </xf>
    <xf numFmtId="0" fontId="4" fillId="3" borderId="40" xfId="0" applyFont="1" applyFill="1" applyBorder="1" applyAlignment="1">
      <alignment horizontal="center" vertical="center" wrapText="1"/>
    </xf>
    <xf numFmtId="0" fontId="11" fillId="8" borderId="15" xfId="0" applyFont="1" applyFill="1" applyBorder="1" applyAlignment="1">
      <alignment horizontal="center" vertical="center" wrapText="1"/>
    </xf>
    <xf numFmtId="0" fontId="11" fillId="8" borderId="16" xfId="0" applyFont="1" applyFill="1" applyBorder="1" applyAlignment="1">
      <alignment horizontal="center" vertical="center" wrapText="1"/>
    </xf>
    <xf numFmtId="0" fontId="6" fillId="0" borderId="45" xfId="0" applyFont="1" applyBorder="1" applyAlignment="1">
      <alignment horizontal="left" vertical="center" wrapText="1"/>
    </xf>
    <xf numFmtId="0" fontId="6" fillId="0" borderId="7" xfId="0" applyFont="1" applyBorder="1" applyAlignment="1">
      <alignment horizontal="left" vertical="center" wrapText="1"/>
    </xf>
    <xf numFmtId="0" fontId="6" fillId="0" borderId="50" xfId="0" applyFont="1" applyBorder="1" applyAlignment="1">
      <alignment horizontal="left" vertical="center" wrapText="1"/>
    </xf>
    <xf numFmtId="0" fontId="6" fillId="0" borderId="9" xfId="0" applyFont="1" applyBorder="1" applyAlignment="1">
      <alignment horizontal="left" vertical="center" wrapText="1"/>
    </xf>
    <xf numFmtId="0" fontId="14" fillId="4" borderId="32" xfId="0" applyFont="1" applyFill="1" applyBorder="1" applyAlignment="1" applyProtection="1">
      <alignment horizontal="center" vertical="center"/>
      <protection locked="0"/>
    </xf>
    <xf numFmtId="0" fontId="14" fillId="4" borderId="33" xfId="0" applyFont="1" applyFill="1" applyBorder="1" applyAlignment="1" applyProtection="1">
      <alignment horizontal="center" vertical="center"/>
      <protection locked="0"/>
    </xf>
    <xf numFmtId="0" fontId="14" fillId="4" borderId="34" xfId="0" applyFont="1" applyFill="1" applyBorder="1" applyAlignment="1" applyProtection="1">
      <alignment horizontal="center" vertical="center"/>
      <protection locked="0"/>
    </xf>
    <xf numFmtId="0" fontId="8" fillId="17" borderId="27" xfId="0" applyFont="1" applyFill="1" applyBorder="1" applyAlignment="1" applyProtection="1">
      <alignment horizontal="center" vertical="center" wrapText="1"/>
      <protection locked="0"/>
    </xf>
    <xf numFmtId="0" fontId="8" fillId="17" borderId="3" xfId="0" applyFont="1" applyFill="1" applyBorder="1" applyAlignment="1" applyProtection="1">
      <alignment horizontal="center" vertical="center" wrapText="1"/>
      <protection locked="0"/>
    </xf>
    <xf numFmtId="0" fontId="24" fillId="20" borderId="15" xfId="0" applyFont="1" applyFill="1" applyBorder="1" applyAlignment="1">
      <alignment horizontal="center" vertical="center" wrapText="1"/>
    </xf>
    <xf numFmtId="0" fontId="24" fillId="20" borderId="38" xfId="0" applyFont="1" applyFill="1" applyBorder="1" applyAlignment="1">
      <alignment horizontal="center" vertical="center"/>
    </xf>
    <xf numFmtId="0" fontId="24" fillId="20" borderId="16" xfId="0" applyFont="1" applyFill="1" applyBorder="1" applyAlignment="1">
      <alignment horizontal="center" vertical="center"/>
    </xf>
    <xf numFmtId="0" fontId="24" fillId="20" borderId="14" xfId="0" applyFont="1" applyFill="1" applyBorder="1" applyAlignment="1">
      <alignment horizontal="center" vertical="center"/>
    </xf>
    <xf numFmtId="0" fontId="24" fillId="20" borderId="4" xfId="0" applyFont="1" applyFill="1" applyBorder="1" applyAlignment="1">
      <alignment horizontal="center" vertical="center"/>
    </xf>
    <xf numFmtId="0" fontId="24" fillId="20" borderId="2" xfId="0" applyFont="1" applyFill="1" applyBorder="1" applyAlignment="1">
      <alignment horizontal="center" vertical="center"/>
    </xf>
    <xf numFmtId="0" fontId="25" fillId="7" borderId="83" xfId="0" applyFont="1" applyFill="1" applyBorder="1" applyAlignment="1">
      <alignment horizontal="center" vertical="center"/>
    </xf>
    <xf numFmtId="0" fontId="25" fillId="7" borderId="84" xfId="0" applyFont="1" applyFill="1" applyBorder="1" applyAlignment="1">
      <alignment horizontal="center" vertical="center"/>
    </xf>
    <xf numFmtId="0" fontId="22" fillId="0" borderId="76" xfId="0" applyFont="1" applyBorder="1" applyAlignment="1">
      <alignment horizontal="center" vertical="center" wrapText="1"/>
    </xf>
    <xf numFmtId="0" fontId="22" fillId="0" borderId="77" xfId="0" applyFont="1" applyBorder="1" applyAlignment="1">
      <alignment horizontal="center" vertical="center"/>
    </xf>
    <xf numFmtId="0" fontId="22" fillId="0" borderId="78" xfId="0" applyFont="1" applyBorder="1" applyAlignment="1">
      <alignment horizontal="center" vertical="center"/>
    </xf>
    <xf numFmtId="0" fontId="22" fillId="0" borderId="79" xfId="0" applyFont="1" applyBorder="1" applyAlignment="1">
      <alignment horizontal="center" vertical="center"/>
    </xf>
    <xf numFmtId="0" fontId="6" fillId="16" borderId="15" xfId="0" applyFont="1" applyFill="1" applyBorder="1" applyAlignment="1" applyProtection="1">
      <alignment horizontal="center" vertical="center" wrapText="1"/>
      <protection locked="0"/>
    </xf>
    <xf numFmtId="0" fontId="6" fillId="16" borderId="38" xfId="0" applyFont="1" applyFill="1" applyBorder="1" applyAlignment="1" applyProtection="1">
      <alignment horizontal="center" vertical="center" wrapText="1"/>
      <protection locked="0"/>
    </xf>
    <xf numFmtId="0" fontId="6" fillId="16" borderId="86" xfId="0" applyFont="1" applyFill="1" applyBorder="1" applyAlignment="1" applyProtection="1">
      <alignment horizontal="center" vertical="center" wrapText="1"/>
      <protection locked="0"/>
    </xf>
    <xf numFmtId="0" fontId="6" fillId="16" borderId="82" xfId="0" applyFont="1" applyFill="1" applyBorder="1" applyAlignment="1" applyProtection="1">
      <alignment horizontal="center" vertical="center" wrapText="1"/>
      <protection locked="0"/>
    </xf>
    <xf numFmtId="0" fontId="6" fillId="16" borderId="0" xfId="0" applyFont="1" applyFill="1" applyAlignment="1" applyProtection="1">
      <alignment horizontal="center" vertical="center" wrapText="1"/>
      <protection locked="0"/>
    </xf>
    <xf numFmtId="0" fontId="6" fillId="16" borderId="87" xfId="0" applyFont="1" applyFill="1" applyBorder="1" applyAlignment="1" applyProtection="1">
      <alignment horizontal="center" vertical="center" wrapText="1"/>
      <protection locked="0"/>
    </xf>
    <xf numFmtId="0" fontId="6" fillId="16" borderId="14" xfId="0" applyFont="1" applyFill="1" applyBorder="1" applyAlignment="1" applyProtection="1">
      <alignment horizontal="center" vertical="center" wrapText="1"/>
      <protection locked="0"/>
    </xf>
    <xf numFmtId="0" fontId="6" fillId="16" borderId="4" xfId="0" applyFont="1" applyFill="1" applyBorder="1" applyAlignment="1" applyProtection="1">
      <alignment horizontal="center" vertical="center" wrapText="1"/>
      <protection locked="0"/>
    </xf>
    <xf numFmtId="0" fontId="6" fillId="16" borderId="88" xfId="0" applyFont="1" applyFill="1" applyBorder="1" applyAlignment="1" applyProtection="1">
      <alignment horizontal="center" vertical="center" wrapText="1"/>
      <protection locked="0"/>
    </xf>
    <xf numFmtId="0" fontId="6" fillId="16" borderId="70" xfId="0" applyFont="1" applyFill="1" applyBorder="1" applyAlignment="1" applyProtection="1">
      <alignment horizontal="center" vertical="center" wrapText="1"/>
      <protection locked="0"/>
    </xf>
    <xf numFmtId="0" fontId="21" fillId="16" borderId="14" xfId="0" applyFont="1" applyFill="1" applyBorder="1" applyAlignment="1" applyProtection="1">
      <alignment horizontal="center" vertical="center" wrapText="1"/>
      <protection locked="0"/>
    </xf>
    <xf numFmtId="0" fontId="21" fillId="16" borderId="4" xfId="0" applyFont="1" applyFill="1" applyBorder="1" applyAlignment="1" applyProtection="1">
      <alignment horizontal="center" vertical="center" wrapText="1"/>
      <protection locked="0"/>
    </xf>
    <xf numFmtId="0" fontId="21" fillId="16" borderId="88" xfId="0" applyFont="1" applyFill="1" applyBorder="1" applyAlignment="1" applyProtection="1">
      <alignment horizontal="center" vertical="center" wrapText="1"/>
      <protection locked="0"/>
    </xf>
    <xf numFmtId="0" fontId="6" fillId="16" borderId="16" xfId="0" applyFont="1" applyFill="1" applyBorder="1" applyAlignment="1" applyProtection="1">
      <alignment horizontal="center" vertical="center" wrapText="1"/>
      <protection locked="0"/>
    </xf>
    <xf numFmtId="0" fontId="6" fillId="16" borderId="5" xfId="0" applyFont="1" applyFill="1" applyBorder="1" applyAlignment="1" applyProtection="1">
      <alignment horizontal="center" vertical="center" wrapText="1"/>
      <protection locked="0"/>
    </xf>
    <xf numFmtId="0" fontId="6" fillId="16" borderId="2"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4" xfId="0" applyFont="1" applyFill="1" applyBorder="1" applyAlignment="1" applyProtection="1">
      <alignment horizontal="center" vertical="center" wrapText="1"/>
      <protection locked="0"/>
    </xf>
    <xf numFmtId="0" fontId="13" fillId="3" borderId="0" xfId="0" applyFont="1" applyFill="1" applyAlignment="1" applyProtection="1">
      <alignment horizontal="center" vertical="center" wrapText="1"/>
      <protection locked="0"/>
    </xf>
    <xf numFmtId="0" fontId="13" fillId="3" borderId="5" xfId="0" applyFont="1" applyFill="1" applyBorder="1" applyAlignment="1" applyProtection="1">
      <alignment horizontal="center" vertical="center" wrapText="1"/>
      <protection locked="0"/>
    </xf>
    <xf numFmtId="0" fontId="7" fillId="0" borderId="0" xfId="0" applyFont="1" applyAlignment="1">
      <alignment horizontal="center" vertical="center"/>
    </xf>
    <xf numFmtId="0" fontId="30" fillId="4" borderId="55" xfId="0" applyFont="1" applyFill="1" applyBorder="1" applyAlignment="1" applyProtection="1">
      <alignment horizontal="center" vertical="center"/>
      <protection locked="0"/>
    </xf>
    <xf numFmtId="0" fontId="7" fillId="4" borderId="4" xfId="0" applyFont="1" applyFill="1" applyBorder="1" applyAlignment="1" applyProtection="1">
      <alignment horizontal="center" vertical="center"/>
      <protection locked="0"/>
    </xf>
    <xf numFmtId="0" fontId="17" fillId="5" borderId="56" xfId="0" applyFont="1" applyFill="1" applyBorder="1" applyAlignment="1">
      <alignment horizontal="center" vertical="center"/>
    </xf>
    <xf numFmtId="0" fontId="17" fillId="5" borderId="57" xfId="0" applyFont="1" applyFill="1" applyBorder="1" applyAlignment="1">
      <alignment horizontal="center" vertical="center"/>
    </xf>
    <xf numFmtId="0" fontId="17" fillId="5" borderId="59" xfId="0" applyFont="1" applyFill="1" applyBorder="1" applyAlignment="1">
      <alignment horizontal="center" vertical="center"/>
    </xf>
    <xf numFmtId="0" fontId="17" fillId="5" borderId="60" xfId="0" applyFont="1" applyFill="1" applyBorder="1" applyAlignment="1">
      <alignment horizontal="center" vertical="center"/>
    </xf>
    <xf numFmtId="0" fontId="17" fillId="7" borderId="14" xfId="0" applyFont="1" applyFill="1" applyBorder="1" applyAlignment="1">
      <alignment horizontal="center" vertical="center" wrapText="1"/>
    </xf>
    <xf numFmtId="0" fontId="17" fillId="7" borderId="2" xfId="0" applyFont="1" applyFill="1" applyBorder="1" applyAlignment="1">
      <alignment horizontal="center" vertical="center" wrapText="1"/>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id="{00000000-0008-0000-01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id="{00000000-0008-0000-01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id="{00000000-0008-0000-0100-000005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fosystechnologies-my.sharepoint.com/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13"/>
  <sheetViews>
    <sheetView showGridLines="0" topLeftCell="B8" workbookViewId="0">
      <selection activeCell="B7" sqref="B7"/>
    </sheetView>
  </sheetViews>
  <sheetFormatPr defaultColWidth="0" defaultRowHeight="15" customHeight="1" zeroHeight="1" x14ac:dyDescent="0.35"/>
  <cols>
    <col min="1" max="1" width="4.54296875" customWidth="1"/>
    <col min="2" max="2" width="186.7265625" customWidth="1"/>
    <col min="3" max="3" width="9.1796875" customWidth="1"/>
    <col min="4" max="16384" width="9.1796875" hidden="1"/>
  </cols>
  <sheetData>
    <row r="1" spans="2:2" ht="49.5" customHeight="1" x14ac:dyDescent="0.45">
      <c r="B1" s="115" t="s">
        <v>89</v>
      </c>
    </row>
    <row r="2" spans="2:2" ht="14.5" x14ac:dyDescent="0.35"/>
    <row r="3" spans="2:2" ht="14.5" x14ac:dyDescent="0.35">
      <c r="B3" s="113" t="s">
        <v>90</v>
      </c>
    </row>
    <row r="4" spans="2:2" ht="294" customHeight="1" x14ac:dyDescent="0.35">
      <c r="B4" s="114" t="s">
        <v>111</v>
      </c>
    </row>
    <row r="5" spans="2:2" ht="14.5" x14ac:dyDescent="0.35"/>
    <row r="6" spans="2:2" ht="14.5" x14ac:dyDescent="0.35">
      <c r="B6" s="113" t="s">
        <v>91</v>
      </c>
    </row>
    <row r="7" spans="2:2" ht="261.75" customHeight="1" x14ac:dyDescent="0.35">
      <c r="B7" s="112" t="s">
        <v>112</v>
      </c>
    </row>
    <row r="8" spans="2:2" ht="14.5" x14ac:dyDescent="0.35"/>
    <row r="9" spans="2:2" ht="14.5" x14ac:dyDescent="0.35">
      <c r="B9" s="113" t="s">
        <v>88</v>
      </c>
    </row>
    <row r="10" spans="2:2" ht="128.25" customHeight="1" x14ac:dyDescent="0.35">
      <c r="B10" s="112" t="s">
        <v>92</v>
      </c>
    </row>
    <row r="11" spans="2:2" ht="14.5" x14ac:dyDescent="0.35"/>
    <row r="12" spans="2:2" ht="14.5" x14ac:dyDescent="0.35">
      <c r="B12" s="113"/>
    </row>
    <row r="13" spans="2:2" ht="14.5" x14ac:dyDescent="0.35"/>
  </sheetData>
  <sheetProtection algorithmName="SHA-512" hashValue="3V1S/bfAFFXvWfmtkWqMq0Q7/6KKdlQyoXou7JzVyEqlnE1kpEeEKsO9hox7cWbirKe8/mjyJ4GOilh6Nh9Htw==" saltValue="PL/d4MORxpWznT7gqMgkxA==" spinCount="100000" sheet="1" objects="1" scenario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129"/>
  <sheetViews>
    <sheetView showGridLines="0" tabSelected="1" zoomScale="83" zoomScaleNormal="70" workbookViewId="0">
      <pane ySplit="3" topLeftCell="A4" activePane="bottomLeft" state="frozen"/>
      <selection activeCell="F16" sqref="F16"/>
      <selection pane="bottomLeft"/>
    </sheetView>
  </sheetViews>
  <sheetFormatPr defaultColWidth="0" defaultRowHeight="15.5" zeroHeight="1" x14ac:dyDescent="0.35"/>
  <cols>
    <col min="1" max="1" width="4.54296875" style="92" customWidth="1"/>
    <col min="2" max="2" width="59.26953125" style="4" customWidth="1"/>
    <col min="3" max="3" width="20.7265625" style="4" customWidth="1"/>
    <col min="4" max="4" width="21.26953125" style="4" customWidth="1"/>
    <col min="5" max="5" width="19.81640625" style="4" customWidth="1"/>
    <col min="6" max="6" width="20.1796875" style="4" customWidth="1"/>
    <col min="7" max="7" width="19.81640625" style="4" customWidth="1"/>
    <col min="8" max="8" width="21.453125" style="4" bestFit="1" customWidth="1"/>
    <col min="9" max="9" width="11" style="4" customWidth="1"/>
    <col min="10" max="10" width="11.7265625" style="4" customWidth="1"/>
    <col min="11" max="11" width="9.1796875" style="4" customWidth="1"/>
    <col min="12" max="12" width="1.54296875" style="4" customWidth="1"/>
    <col min="13" max="13" width="9.1796875" style="4" customWidth="1"/>
    <col min="14" max="16384" width="9.1796875" style="4" hidden="1"/>
  </cols>
  <sheetData>
    <row r="1" spans="2:13" ht="16" thickBot="1" x14ac:dyDescent="0.4">
      <c r="B1" s="92"/>
      <c r="C1" s="92"/>
      <c r="D1" s="92"/>
      <c r="E1" s="92"/>
      <c r="F1" s="92"/>
      <c r="G1" s="92"/>
      <c r="H1" s="92"/>
      <c r="I1" s="92"/>
      <c r="J1" s="92"/>
      <c r="K1" s="92"/>
      <c r="L1" s="92"/>
      <c r="M1" s="92"/>
    </row>
    <row r="2" spans="2:13" ht="15.75" customHeight="1" x14ac:dyDescent="0.35">
      <c r="B2" s="206" t="s">
        <v>85</v>
      </c>
      <c r="C2" s="207"/>
      <c r="D2" s="207"/>
      <c r="E2" s="207"/>
      <c r="F2" s="207"/>
      <c r="G2" s="207"/>
      <c r="H2" s="207"/>
      <c r="I2" s="207"/>
      <c r="J2" s="207"/>
      <c r="K2" s="207"/>
      <c r="L2" s="208"/>
      <c r="M2" s="92"/>
    </row>
    <row r="3" spans="2:13" ht="78.75" customHeight="1" thickBot="1" x14ac:dyDescent="0.4">
      <c r="B3" s="209"/>
      <c r="C3" s="210"/>
      <c r="D3" s="210"/>
      <c r="E3" s="210"/>
      <c r="F3" s="210"/>
      <c r="G3" s="210"/>
      <c r="H3" s="210"/>
      <c r="I3" s="210"/>
      <c r="J3" s="210"/>
      <c r="K3" s="210"/>
      <c r="L3" s="211"/>
      <c r="M3" s="92"/>
    </row>
    <row r="4" spans="2:13" ht="16.5" customHeight="1" thickBot="1" x14ac:dyDescent="0.4">
      <c r="B4" s="96"/>
      <c r="C4" s="96"/>
      <c r="D4" s="96"/>
      <c r="E4" s="96"/>
      <c r="F4" s="96"/>
      <c r="G4" s="96"/>
      <c r="H4" s="96"/>
      <c r="I4" s="96"/>
      <c r="J4" s="92"/>
      <c r="K4" s="92"/>
      <c r="L4" s="92"/>
      <c r="M4" s="92"/>
    </row>
    <row r="5" spans="2:13" ht="16" thickBot="1" x14ac:dyDescent="0.4">
      <c r="B5" s="57" t="s">
        <v>69</v>
      </c>
      <c r="C5" s="239"/>
      <c r="D5" s="239"/>
      <c r="E5" s="241" t="s">
        <v>19</v>
      </c>
      <c r="F5" s="242"/>
      <c r="G5" s="5"/>
      <c r="H5" s="212" t="s">
        <v>81</v>
      </c>
      <c r="I5" s="214"/>
      <c r="J5" s="215"/>
      <c r="K5" s="92"/>
      <c r="L5" s="92"/>
      <c r="M5" s="92"/>
    </row>
    <row r="6" spans="2:13" ht="16.5" thickTop="1" thickBot="1" x14ac:dyDescent="0.4">
      <c r="B6" s="58" t="s">
        <v>70</v>
      </c>
      <c r="C6" s="240"/>
      <c r="D6" s="240"/>
      <c r="E6" s="243" t="s">
        <v>20</v>
      </c>
      <c r="F6" s="244"/>
      <c r="G6" s="6"/>
      <c r="H6" s="213"/>
      <c r="I6" s="216"/>
      <c r="J6" s="217"/>
      <c r="K6" s="92"/>
      <c r="L6" s="92"/>
      <c r="M6" s="92"/>
    </row>
    <row r="7" spans="2:13" s="92" customFormat="1" ht="16" thickBot="1" x14ac:dyDescent="0.4">
      <c r="B7" s="97"/>
      <c r="C7" s="97"/>
      <c r="D7" s="97"/>
      <c r="E7" s="97"/>
      <c r="F7" s="97"/>
      <c r="G7" s="97"/>
      <c r="H7" s="238"/>
      <c r="I7" s="238"/>
      <c r="J7" s="238"/>
      <c r="K7" s="238"/>
      <c r="L7" s="238"/>
      <c r="M7" s="238"/>
    </row>
    <row r="8" spans="2:13" ht="21" customHeight="1" thickBot="1" x14ac:dyDescent="0.4">
      <c r="B8" s="168" t="s">
        <v>76</v>
      </c>
      <c r="C8" s="169"/>
      <c r="D8" s="169"/>
      <c r="E8" s="169"/>
      <c r="F8" s="169"/>
      <c r="G8" s="170"/>
      <c r="H8" s="92"/>
      <c r="I8" s="92"/>
      <c r="J8" s="92"/>
      <c r="K8" s="92"/>
      <c r="L8" s="92"/>
      <c r="M8" s="92"/>
    </row>
    <row r="9" spans="2:13" ht="48.75" customHeight="1" thickBot="1" x14ac:dyDescent="0.4">
      <c r="B9" s="59" t="s">
        <v>0</v>
      </c>
      <c r="C9" s="60" t="s">
        <v>1</v>
      </c>
      <c r="D9" s="60" t="s">
        <v>2</v>
      </c>
      <c r="E9" s="60" t="s">
        <v>3</v>
      </c>
      <c r="F9" s="60" t="s">
        <v>4</v>
      </c>
      <c r="G9" s="60" t="s">
        <v>5</v>
      </c>
      <c r="H9" s="92"/>
      <c r="I9" s="92"/>
      <c r="J9" s="92"/>
      <c r="K9" s="92"/>
      <c r="L9" s="92"/>
      <c r="M9" s="92"/>
    </row>
    <row r="10" spans="2:13" ht="16" thickBot="1" x14ac:dyDescent="0.4">
      <c r="B10" s="61">
        <v>1</v>
      </c>
      <c r="C10" s="62">
        <v>2</v>
      </c>
      <c r="D10" s="62">
        <v>3</v>
      </c>
      <c r="E10" s="62">
        <v>4</v>
      </c>
      <c r="F10" s="62">
        <v>5</v>
      </c>
      <c r="G10" s="63">
        <v>6</v>
      </c>
      <c r="H10" s="92"/>
      <c r="I10" s="92"/>
      <c r="J10" s="92"/>
      <c r="K10" s="92"/>
      <c r="L10" s="92"/>
      <c r="M10" s="92"/>
    </row>
    <row r="11" spans="2:13" ht="31" x14ac:dyDescent="0.35">
      <c r="B11" s="64" t="s">
        <v>87</v>
      </c>
      <c r="C11" s="117">
        <v>0</v>
      </c>
      <c r="D11" s="117">
        <v>0</v>
      </c>
      <c r="E11" s="117">
        <v>0</v>
      </c>
      <c r="F11" s="118">
        <f>E11</f>
        <v>0</v>
      </c>
      <c r="G11" s="117">
        <v>0</v>
      </c>
      <c r="H11" s="92"/>
      <c r="I11" s="92"/>
      <c r="J11" s="92"/>
      <c r="K11" s="92"/>
      <c r="L11" s="92"/>
      <c r="M11" s="92"/>
    </row>
    <row r="12" spans="2:13" x14ac:dyDescent="0.35">
      <c r="B12" s="65" t="s">
        <v>6</v>
      </c>
      <c r="C12" s="117">
        <v>0</v>
      </c>
      <c r="D12" s="117">
        <v>0</v>
      </c>
      <c r="E12" s="178"/>
      <c r="F12" s="179"/>
      <c r="G12" s="117">
        <v>0</v>
      </c>
      <c r="H12" s="92"/>
      <c r="I12" s="92"/>
      <c r="J12" s="92"/>
      <c r="K12" s="92"/>
      <c r="L12" s="92"/>
      <c r="M12" s="92"/>
    </row>
    <row r="13" spans="2:13" x14ac:dyDescent="0.35">
      <c r="B13" s="65" t="s">
        <v>21</v>
      </c>
      <c r="C13" s="117">
        <v>0</v>
      </c>
      <c r="D13" s="180"/>
      <c r="E13" s="181"/>
      <c r="F13" s="181"/>
      <c r="G13" s="182"/>
      <c r="H13" s="92"/>
      <c r="I13" s="92"/>
      <c r="J13" s="92"/>
      <c r="K13" s="92"/>
      <c r="L13" s="92"/>
      <c r="M13" s="92"/>
    </row>
    <row r="14" spans="2:13" x14ac:dyDescent="0.35">
      <c r="B14" s="65" t="s">
        <v>22</v>
      </c>
      <c r="C14" s="117">
        <v>0</v>
      </c>
      <c r="D14" s="117">
        <v>0</v>
      </c>
      <c r="E14" s="117">
        <v>0</v>
      </c>
      <c r="F14" s="119">
        <f>E14</f>
        <v>0</v>
      </c>
      <c r="G14" s="117">
        <v>0</v>
      </c>
      <c r="H14" s="92"/>
      <c r="I14" s="92"/>
      <c r="J14" s="92"/>
      <c r="K14" s="92"/>
      <c r="L14" s="92"/>
      <c r="M14" s="92"/>
    </row>
    <row r="15" spans="2:13" ht="16" thickBot="1" x14ac:dyDescent="0.4">
      <c r="B15" s="66" t="s">
        <v>23</v>
      </c>
      <c r="C15" s="117">
        <v>0</v>
      </c>
      <c r="D15" s="183"/>
      <c r="E15" s="184"/>
      <c r="F15" s="184"/>
      <c r="G15" s="185"/>
      <c r="H15" s="92"/>
      <c r="I15" s="92"/>
      <c r="J15" s="92"/>
      <c r="K15" s="92"/>
      <c r="L15" s="92"/>
      <c r="M15" s="92"/>
    </row>
    <row r="16" spans="2:13" ht="16" thickBot="1" x14ac:dyDescent="0.4">
      <c r="B16" s="67" t="s">
        <v>84</v>
      </c>
      <c r="C16" s="116">
        <f>SUM(C11:C15)</f>
        <v>0</v>
      </c>
      <c r="D16" s="120">
        <f>SUM(D11:D12) + D14</f>
        <v>0</v>
      </c>
      <c r="E16" s="120">
        <f>E11 + E14</f>
        <v>0</v>
      </c>
      <c r="F16" s="120">
        <f>F11 + F14</f>
        <v>0</v>
      </c>
      <c r="G16" s="121">
        <f>SUM(G11:G12) + G14</f>
        <v>0</v>
      </c>
      <c r="H16" s="92"/>
      <c r="I16" s="92"/>
      <c r="J16" s="92"/>
      <c r="K16" s="92"/>
      <c r="L16" s="92"/>
      <c r="M16" s="92"/>
    </row>
    <row r="17" spans="2:13" x14ac:dyDescent="0.35">
      <c r="B17" s="92"/>
      <c r="C17" s="92"/>
      <c r="D17" s="92"/>
      <c r="E17" s="92"/>
      <c r="F17" s="92"/>
      <c r="G17" s="92"/>
      <c r="H17" s="92"/>
      <c r="I17" s="92"/>
      <c r="J17" s="92"/>
      <c r="K17" s="92"/>
      <c r="L17" s="92"/>
      <c r="M17" s="92"/>
    </row>
    <row r="18" spans="2:13" x14ac:dyDescent="0.35">
      <c r="B18" s="92"/>
      <c r="C18" s="92"/>
      <c r="D18" s="92"/>
      <c r="E18" s="92"/>
      <c r="F18" s="92"/>
      <c r="G18" s="92"/>
      <c r="H18" s="92"/>
      <c r="I18" s="92"/>
      <c r="J18" s="92"/>
      <c r="K18" s="92"/>
      <c r="L18" s="92"/>
      <c r="M18" s="92"/>
    </row>
    <row r="19" spans="2:13" ht="19" hidden="1" thickBot="1" x14ac:dyDescent="0.4">
      <c r="B19" s="144" t="s">
        <v>104</v>
      </c>
      <c r="C19" s="145"/>
      <c r="D19" s="145"/>
      <c r="E19" s="145"/>
      <c r="F19" s="145"/>
      <c r="G19" s="146"/>
      <c r="H19" s="92"/>
      <c r="I19" s="92"/>
      <c r="J19" s="92"/>
      <c r="K19" s="92"/>
      <c r="L19" s="92"/>
      <c r="M19" s="92"/>
    </row>
    <row r="20" spans="2:13" ht="34.5" hidden="1" thickBot="1" x14ac:dyDescent="0.4">
      <c r="B20" s="137" t="s">
        <v>0</v>
      </c>
      <c r="C20" s="138" t="s">
        <v>1</v>
      </c>
      <c r="D20" s="138" t="s">
        <v>2</v>
      </c>
      <c r="E20" s="138" t="s">
        <v>3</v>
      </c>
      <c r="F20" s="138" t="s">
        <v>4</v>
      </c>
      <c r="G20" s="138" t="s">
        <v>5</v>
      </c>
      <c r="H20" s="92"/>
      <c r="I20" s="92"/>
      <c r="J20" s="92"/>
      <c r="K20" s="92"/>
      <c r="L20" s="92"/>
      <c r="M20" s="92"/>
    </row>
    <row r="21" spans="2:13" ht="16" hidden="1" thickBot="1" x14ac:dyDescent="0.4">
      <c r="B21" s="61">
        <v>1</v>
      </c>
      <c r="C21" s="62">
        <v>2</v>
      </c>
      <c r="D21" s="62">
        <v>3</v>
      </c>
      <c r="E21" s="62">
        <v>4</v>
      </c>
      <c r="F21" s="62">
        <v>5</v>
      </c>
      <c r="G21" s="63">
        <v>6</v>
      </c>
      <c r="H21" s="92"/>
      <c r="I21" s="92"/>
      <c r="J21" s="92"/>
      <c r="K21" s="92"/>
      <c r="L21" s="92"/>
      <c r="M21" s="92"/>
    </row>
    <row r="22" spans="2:13" s="92" customFormat="1" ht="46.5" hidden="1" x14ac:dyDescent="0.35">
      <c r="B22" s="64" t="s">
        <v>105</v>
      </c>
      <c r="C22" s="117">
        <v>0</v>
      </c>
      <c r="D22" s="117">
        <v>0</v>
      </c>
      <c r="E22" s="117">
        <v>0</v>
      </c>
      <c r="F22" s="118">
        <f>E22</f>
        <v>0</v>
      </c>
      <c r="G22" s="117">
        <v>0</v>
      </c>
    </row>
    <row r="23" spans="2:13" s="92" customFormat="1" ht="78" hidden="1" thickBot="1" x14ac:dyDescent="0.4">
      <c r="B23" s="139" t="s">
        <v>106</v>
      </c>
      <c r="C23" s="117">
        <v>0</v>
      </c>
      <c r="D23" s="147"/>
      <c r="E23" s="148"/>
      <c r="F23" s="148"/>
      <c r="G23" s="149"/>
    </row>
    <row r="24" spans="2:13" s="92" customFormat="1" ht="16" hidden="1" thickBot="1" x14ac:dyDescent="0.4">
      <c r="B24" s="140" t="s">
        <v>84</v>
      </c>
      <c r="C24" s="141">
        <f>SUM(C22:C23)</f>
        <v>0</v>
      </c>
      <c r="D24" s="141">
        <f>D22</f>
        <v>0</v>
      </c>
      <c r="E24" s="141">
        <f>E22</f>
        <v>0</v>
      </c>
      <c r="F24" s="142">
        <f>F22</f>
        <v>0</v>
      </c>
      <c r="G24" s="141">
        <f>G22</f>
        <v>0</v>
      </c>
    </row>
    <row r="25" spans="2:13" s="92" customFormat="1" hidden="1" x14ac:dyDescent="0.35"/>
    <row r="26" spans="2:13" s="92" customFormat="1" ht="16" thickBot="1" x14ac:dyDescent="0.4"/>
    <row r="27" spans="2:13" ht="21.75" customHeight="1" thickBot="1" x14ac:dyDescent="0.4">
      <c r="B27" s="171" t="s">
        <v>77</v>
      </c>
      <c r="C27" s="172"/>
      <c r="D27" s="172"/>
      <c r="E27" s="172"/>
      <c r="F27" s="173"/>
      <c r="G27" s="92"/>
      <c r="H27" s="92"/>
      <c r="I27" s="92"/>
      <c r="J27" s="92"/>
      <c r="K27" s="92"/>
      <c r="L27" s="92"/>
      <c r="M27" s="92"/>
    </row>
    <row r="28" spans="2:13" ht="33.75" customHeight="1" thickBot="1" x14ac:dyDescent="0.4">
      <c r="B28" s="68" t="s">
        <v>107</v>
      </c>
      <c r="C28" s="69" t="s">
        <v>2</v>
      </c>
      <c r="D28" s="69" t="s">
        <v>3</v>
      </c>
      <c r="E28" s="69" t="s">
        <v>4</v>
      </c>
      <c r="F28" s="69" t="s">
        <v>5</v>
      </c>
      <c r="G28" s="92"/>
      <c r="H28" s="92"/>
      <c r="I28" s="92"/>
      <c r="J28" s="92"/>
      <c r="K28" s="92"/>
      <c r="L28" s="92"/>
      <c r="M28" s="92"/>
    </row>
    <row r="29" spans="2:13" ht="16" thickBot="1" x14ac:dyDescent="0.4">
      <c r="B29" s="70">
        <v>1</v>
      </c>
      <c r="C29" s="71">
        <v>2</v>
      </c>
      <c r="D29" s="71">
        <v>3</v>
      </c>
      <c r="E29" s="71">
        <v>4</v>
      </c>
      <c r="F29" s="71">
        <v>5</v>
      </c>
      <c r="G29" s="92"/>
      <c r="H29" s="92"/>
      <c r="I29" s="92"/>
      <c r="J29" s="92"/>
      <c r="K29" s="92"/>
      <c r="L29" s="92"/>
      <c r="M29" s="92"/>
    </row>
    <row r="30" spans="2:13" x14ac:dyDescent="0.35">
      <c r="B30" s="72" t="s">
        <v>27</v>
      </c>
      <c r="C30" s="73"/>
      <c r="D30" s="74"/>
      <c r="E30" s="74"/>
      <c r="F30" s="75"/>
      <c r="G30" s="92"/>
      <c r="H30" s="92"/>
      <c r="I30" s="92"/>
      <c r="J30" s="92"/>
      <c r="K30" s="92"/>
      <c r="L30" s="92"/>
      <c r="M30" s="92"/>
    </row>
    <row r="31" spans="2:13" x14ac:dyDescent="0.35">
      <c r="B31" s="76" t="s">
        <v>108</v>
      </c>
      <c r="C31" s="122">
        <v>0</v>
      </c>
      <c r="D31" s="186"/>
      <c r="E31" s="187"/>
      <c r="F31" s="122">
        <v>0</v>
      </c>
      <c r="G31" s="92"/>
      <c r="H31" s="92"/>
      <c r="I31" s="92"/>
      <c r="J31" s="92"/>
      <c r="K31" s="92"/>
      <c r="L31" s="92"/>
      <c r="M31" s="92"/>
    </row>
    <row r="32" spans="2:13" x14ac:dyDescent="0.35">
      <c r="B32" s="76" t="s">
        <v>109</v>
      </c>
      <c r="C32" s="122">
        <v>0</v>
      </c>
      <c r="D32" s="188"/>
      <c r="E32" s="189"/>
      <c r="F32" s="122">
        <v>0</v>
      </c>
      <c r="G32" s="92"/>
      <c r="H32" s="92"/>
      <c r="I32" s="92"/>
      <c r="J32" s="92"/>
      <c r="K32" s="92"/>
      <c r="L32" s="92"/>
      <c r="M32" s="92"/>
    </row>
    <row r="33" spans="2:13" ht="31" x14ac:dyDescent="0.35">
      <c r="B33" s="76" t="s">
        <v>110</v>
      </c>
      <c r="C33" s="122">
        <v>0</v>
      </c>
      <c r="D33" s="122">
        <v>0</v>
      </c>
      <c r="E33" s="123">
        <f>D33</f>
        <v>0</v>
      </c>
      <c r="F33" s="122">
        <v>0</v>
      </c>
      <c r="G33" s="92"/>
      <c r="H33" s="92"/>
      <c r="I33" s="92"/>
      <c r="J33" s="92"/>
      <c r="K33" s="92"/>
      <c r="L33" s="92"/>
      <c r="M33" s="92"/>
    </row>
    <row r="34" spans="2:13" x14ac:dyDescent="0.35">
      <c r="B34" s="76" t="s">
        <v>28</v>
      </c>
      <c r="C34" s="122">
        <v>0</v>
      </c>
      <c r="D34" s="122">
        <v>0</v>
      </c>
      <c r="E34" s="123">
        <f>D34</f>
        <v>0</v>
      </c>
      <c r="F34" s="122">
        <v>0</v>
      </c>
      <c r="G34" s="92"/>
      <c r="H34" s="92"/>
      <c r="I34" s="92"/>
      <c r="J34" s="92"/>
      <c r="K34" s="92"/>
      <c r="L34" s="92"/>
      <c r="M34" s="92"/>
    </row>
    <row r="35" spans="2:13" ht="16" thickBot="1" x14ac:dyDescent="0.4">
      <c r="B35" s="77" t="s">
        <v>29</v>
      </c>
      <c r="C35" s="122">
        <v>0</v>
      </c>
      <c r="D35" s="122">
        <v>0</v>
      </c>
      <c r="E35" s="123">
        <f>D35</f>
        <v>0</v>
      </c>
      <c r="F35" s="122">
        <v>0</v>
      </c>
      <c r="G35" s="92"/>
      <c r="H35" s="92"/>
      <c r="I35" s="92"/>
      <c r="J35" s="92"/>
      <c r="K35" s="92"/>
      <c r="L35" s="92"/>
      <c r="M35" s="92"/>
    </row>
    <row r="36" spans="2:13" x14ac:dyDescent="0.35">
      <c r="B36" s="78" t="s">
        <v>67</v>
      </c>
      <c r="C36" s="99"/>
      <c r="D36" s="100"/>
      <c r="E36" s="100"/>
      <c r="F36" s="101"/>
      <c r="G36" s="92"/>
      <c r="H36" s="92"/>
      <c r="I36" s="92"/>
      <c r="J36" s="92"/>
      <c r="K36" s="92"/>
      <c r="L36" s="92"/>
      <c r="M36" s="92"/>
    </row>
    <row r="37" spans="2:13" ht="36" customHeight="1" x14ac:dyDescent="0.35">
      <c r="B37" s="134" t="s">
        <v>114</v>
      </c>
      <c r="C37" s="122">
        <v>0</v>
      </c>
      <c r="D37" s="122">
        <v>0</v>
      </c>
      <c r="E37" s="123">
        <f>D37</f>
        <v>0</v>
      </c>
      <c r="F37" s="122">
        <v>0</v>
      </c>
      <c r="G37" s="92"/>
      <c r="H37" s="92"/>
      <c r="I37" s="92"/>
      <c r="J37" s="92"/>
      <c r="K37" s="92"/>
      <c r="L37" s="92"/>
      <c r="M37" s="92"/>
    </row>
    <row r="38" spans="2:13" ht="16" thickBot="1" x14ac:dyDescent="0.4">
      <c r="B38" s="79" t="s">
        <v>30</v>
      </c>
      <c r="C38" s="122">
        <v>0</v>
      </c>
      <c r="D38" s="122">
        <v>0</v>
      </c>
      <c r="E38" s="122">
        <v>0</v>
      </c>
      <c r="F38" s="122">
        <v>0</v>
      </c>
      <c r="G38" s="92"/>
      <c r="H38" s="92"/>
      <c r="I38" s="92"/>
      <c r="J38" s="92"/>
      <c r="K38" s="92"/>
      <c r="L38" s="92"/>
      <c r="M38" s="92"/>
    </row>
    <row r="39" spans="2:13" ht="16" thickBot="1" x14ac:dyDescent="0.4">
      <c r="B39" s="80" t="s">
        <v>68</v>
      </c>
      <c r="C39" s="124">
        <f>SUM(ROUND(C31,2),ROUND(C32,2),ROUND(C33,2),ROUND(C34,2),ROUND(C35,2))-SUM(ROUND(C37,2),ROUND(C38,2))</f>
        <v>0</v>
      </c>
      <c r="D39" s="124">
        <f>SUM(ROUND(D31,2),ROUND(D32,2),ROUND(D33,2),ROUND(D34,2),ROUND(D35,2))-SUM(ROUND(D37,2),ROUND(D38,2))</f>
        <v>0</v>
      </c>
      <c r="E39" s="124">
        <f>SUM(ROUND(E31,2),ROUND(E32,2),ROUND(E33,2),ROUND(E34,2),ROUND(E35,2))-SUM(ROUND(E37,2),ROUND(E38,2))</f>
        <v>0</v>
      </c>
      <c r="F39" s="125">
        <f>SUM(ROUND(F31,2),ROUND(F32,2),ROUND(F33,2),ROUND(F34,2),ROUND(F35,2))-SUM(ROUND(F37,2),ROUND(F38,2))</f>
        <v>0</v>
      </c>
      <c r="G39" s="92"/>
      <c r="H39" s="92"/>
      <c r="I39" s="92"/>
      <c r="J39" s="92"/>
      <c r="K39" s="92"/>
      <c r="L39" s="92"/>
      <c r="M39" s="92"/>
    </row>
    <row r="40" spans="2:13" x14ac:dyDescent="0.35">
      <c r="B40" s="135" t="s">
        <v>115</v>
      </c>
      <c r="C40" s="73"/>
      <c r="D40" s="74"/>
      <c r="E40" s="74"/>
      <c r="F40" s="75"/>
      <c r="G40" s="92"/>
      <c r="H40" s="92"/>
      <c r="I40" s="92"/>
      <c r="J40" s="92"/>
      <c r="K40" s="92"/>
      <c r="L40" s="92"/>
      <c r="M40" s="92"/>
    </row>
    <row r="41" spans="2:13" ht="31" x14ac:dyDescent="0.35">
      <c r="B41" s="134" t="s">
        <v>116</v>
      </c>
      <c r="C41" s="122">
        <v>0</v>
      </c>
      <c r="D41" s="122">
        <v>0</v>
      </c>
      <c r="E41" s="123">
        <f>D41</f>
        <v>0</v>
      </c>
      <c r="F41" s="122">
        <v>0</v>
      </c>
      <c r="G41" s="92"/>
      <c r="H41" s="92"/>
      <c r="I41" s="92"/>
      <c r="J41" s="92"/>
      <c r="K41" s="92"/>
      <c r="L41" s="92"/>
      <c r="M41" s="92"/>
    </row>
    <row r="42" spans="2:13" ht="45" customHeight="1" thickBot="1" x14ac:dyDescent="0.4">
      <c r="B42" s="136" t="s">
        <v>117</v>
      </c>
      <c r="C42" s="122">
        <v>0</v>
      </c>
      <c r="D42" s="122">
        <v>0</v>
      </c>
      <c r="E42" s="123">
        <f>D42</f>
        <v>0</v>
      </c>
      <c r="F42" s="122">
        <v>0</v>
      </c>
      <c r="G42" s="92"/>
      <c r="H42" s="92"/>
      <c r="I42" s="92"/>
      <c r="J42" s="92"/>
      <c r="K42" s="92"/>
      <c r="L42" s="92"/>
      <c r="M42" s="92"/>
    </row>
    <row r="43" spans="2:13" s="93" customFormat="1" x14ac:dyDescent="0.35">
      <c r="C43" s="98"/>
      <c r="D43" s="98"/>
      <c r="E43" s="98"/>
      <c r="F43" s="98"/>
    </row>
    <row r="44" spans="2:13" s="92" customFormat="1" ht="16" thickBot="1" x14ac:dyDescent="0.4"/>
    <row r="45" spans="2:13" ht="19.5" customHeight="1" thickBot="1" x14ac:dyDescent="0.4">
      <c r="B45" s="168" t="s">
        <v>78</v>
      </c>
      <c r="C45" s="169"/>
      <c r="D45" s="169"/>
      <c r="E45" s="170"/>
      <c r="F45" s="92"/>
      <c r="G45" s="92"/>
      <c r="H45" s="92"/>
      <c r="I45" s="92"/>
      <c r="J45" s="92"/>
      <c r="K45" s="92"/>
      <c r="L45" s="92"/>
      <c r="M45" s="92"/>
    </row>
    <row r="46" spans="2:13" ht="31.5" thickBot="1" x14ac:dyDescent="0.4">
      <c r="B46" s="245" t="s">
        <v>8</v>
      </c>
      <c r="C46" s="246"/>
      <c r="D46" s="81" t="s">
        <v>9</v>
      </c>
      <c r="E46" s="81" t="s">
        <v>10</v>
      </c>
      <c r="F46" s="92"/>
      <c r="G46" s="92"/>
      <c r="H46" s="92"/>
      <c r="I46" s="92"/>
      <c r="J46" s="92"/>
      <c r="K46" s="92"/>
      <c r="L46" s="92"/>
      <c r="M46" s="92"/>
    </row>
    <row r="47" spans="2:13" ht="16" thickBot="1" x14ac:dyDescent="0.4">
      <c r="B47" s="195">
        <v>1</v>
      </c>
      <c r="C47" s="196"/>
      <c r="D47" s="82">
        <v>2</v>
      </c>
      <c r="E47" s="82">
        <v>3</v>
      </c>
      <c r="F47" s="92"/>
      <c r="G47" s="92"/>
      <c r="H47" s="92"/>
      <c r="I47" s="92"/>
      <c r="J47" s="92"/>
      <c r="K47" s="92"/>
      <c r="L47" s="92"/>
      <c r="M47" s="92"/>
    </row>
    <row r="48" spans="2:13" ht="15.75" customHeight="1" thickBot="1" x14ac:dyDescent="0.4">
      <c r="B48" s="197" t="s">
        <v>31</v>
      </c>
      <c r="C48" s="198"/>
      <c r="D48" s="126">
        <v>0</v>
      </c>
      <c r="E48" s="127">
        <v>0</v>
      </c>
      <c r="F48" s="92"/>
      <c r="G48" s="92"/>
      <c r="H48" s="92"/>
      <c r="I48" s="92"/>
      <c r="J48" s="92"/>
      <c r="K48" s="92"/>
      <c r="L48" s="92"/>
      <c r="M48" s="92"/>
    </row>
    <row r="49" spans="1:13" ht="16.5" customHeight="1" thickBot="1" x14ac:dyDescent="0.4">
      <c r="B49" s="199" t="s">
        <v>11</v>
      </c>
      <c r="C49" s="200"/>
      <c r="D49" s="126">
        <v>0</v>
      </c>
      <c r="E49" s="128">
        <v>0</v>
      </c>
      <c r="F49" s="92"/>
      <c r="G49" s="92"/>
      <c r="H49" s="92"/>
      <c r="I49" s="92"/>
      <c r="J49" s="92"/>
      <c r="K49" s="92"/>
      <c r="L49" s="92"/>
      <c r="M49" s="92"/>
    </row>
    <row r="50" spans="1:13" ht="16" thickBot="1" x14ac:dyDescent="0.4">
      <c r="B50" s="193" t="s">
        <v>84</v>
      </c>
      <c r="C50" s="194"/>
      <c r="D50" s="129">
        <v>0</v>
      </c>
      <c r="E50" s="130">
        <f>SUM(E48:E49)</f>
        <v>0</v>
      </c>
      <c r="F50" s="92"/>
      <c r="G50" s="92"/>
      <c r="H50" s="92"/>
      <c r="I50" s="92"/>
      <c r="J50" s="92"/>
      <c r="K50" s="92"/>
      <c r="L50" s="92"/>
      <c r="M50" s="92"/>
    </row>
    <row r="51" spans="1:13" x14ac:dyDescent="0.35">
      <c r="M51" s="92"/>
    </row>
    <row r="52" spans="1:13" ht="19" hidden="1" thickBot="1" x14ac:dyDescent="0.4">
      <c r="B52" s="201" t="s">
        <v>71</v>
      </c>
      <c r="C52" s="202"/>
      <c r="D52" s="202"/>
      <c r="E52" s="202"/>
      <c r="F52" s="202"/>
      <c r="G52" s="202"/>
      <c r="H52" s="202"/>
      <c r="I52" s="202"/>
      <c r="J52" s="202"/>
      <c r="K52" s="203"/>
      <c r="M52" s="92"/>
    </row>
    <row r="53" spans="1:13" ht="17.5" hidden="1" thickBot="1" x14ac:dyDescent="0.4">
      <c r="B53" s="176" t="s">
        <v>12</v>
      </c>
      <c r="C53" s="176" t="s">
        <v>13</v>
      </c>
      <c r="D53" s="190" t="s">
        <v>14</v>
      </c>
      <c r="E53" s="191"/>
      <c r="F53" s="191"/>
      <c r="G53" s="192"/>
      <c r="H53" s="176" t="s">
        <v>15</v>
      </c>
      <c r="I53" s="176" t="s">
        <v>16</v>
      </c>
      <c r="J53" s="176" t="s">
        <v>17</v>
      </c>
      <c r="K53" s="176" t="s">
        <v>18</v>
      </c>
      <c r="M53" s="92"/>
    </row>
    <row r="54" spans="1:13" ht="17.5" hidden="1" thickBot="1" x14ac:dyDescent="0.4">
      <c r="B54" s="177"/>
      <c r="C54" s="177"/>
      <c r="D54" s="7" t="s">
        <v>2</v>
      </c>
      <c r="E54" s="8" t="s">
        <v>3</v>
      </c>
      <c r="F54" s="7" t="s">
        <v>4</v>
      </c>
      <c r="G54" s="7" t="s">
        <v>5</v>
      </c>
      <c r="H54" s="177"/>
      <c r="I54" s="177"/>
      <c r="J54" s="177"/>
      <c r="K54" s="177"/>
      <c r="M54" s="92"/>
    </row>
    <row r="55" spans="1:13" ht="16" hidden="1" thickBot="1" x14ac:dyDescent="0.4">
      <c r="B55" s="9">
        <v>1</v>
      </c>
      <c r="C55" s="9">
        <v>2</v>
      </c>
      <c r="D55" s="9">
        <v>4</v>
      </c>
      <c r="E55" s="9">
        <v>5</v>
      </c>
      <c r="F55" s="9">
        <v>6</v>
      </c>
      <c r="G55" s="9">
        <v>7</v>
      </c>
      <c r="H55" s="9"/>
      <c r="I55" s="9">
        <v>8</v>
      </c>
      <c r="J55" s="9">
        <v>9</v>
      </c>
      <c r="K55" s="9">
        <v>10</v>
      </c>
      <c r="M55" s="92"/>
    </row>
    <row r="56" spans="1:13" hidden="1" x14ac:dyDescent="0.35">
      <c r="B56" s="10" t="s">
        <v>2</v>
      </c>
      <c r="C56" s="11"/>
      <c r="D56" s="11"/>
      <c r="E56" s="11"/>
      <c r="F56" s="11"/>
      <c r="G56" s="12"/>
      <c r="H56" s="204"/>
      <c r="I56" s="11"/>
      <c r="J56" s="13"/>
      <c r="K56" s="14"/>
      <c r="M56" s="92"/>
    </row>
    <row r="57" spans="1:13" hidden="1" x14ac:dyDescent="0.35">
      <c r="B57" s="15" t="s">
        <v>3</v>
      </c>
      <c r="C57" s="16"/>
      <c r="D57" s="16"/>
      <c r="E57" s="17"/>
      <c r="F57" s="18"/>
      <c r="G57" s="19"/>
      <c r="H57" s="205"/>
      <c r="I57" s="16"/>
      <c r="J57" s="19"/>
      <c r="K57" s="20"/>
      <c r="M57" s="92"/>
    </row>
    <row r="58" spans="1:13" hidden="1" x14ac:dyDescent="0.35">
      <c r="B58" s="15" t="s">
        <v>4</v>
      </c>
      <c r="C58" s="16"/>
      <c r="D58" s="21"/>
      <c r="E58" s="18"/>
      <c r="F58" s="22"/>
      <c r="G58" s="19"/>
      <c r="H58" s="205"/>
      <c r="I58" s="16"/>
      <c r="J58" s="19"/>
      <c r="K58" s="20"/>
      <c r="M58" s="92"/>
    </row>
    <row r="59" spans="1:13" ht="16" hidden="1" thickBot="1" x14ac:dyDescent="0.4">
      <c r="B59" s="23" t="s">
        <v>5</v>
      </c>
      <c r="C59" s="24"/>
      <c r="D59" s="174"/>
      <c r="E59" s="175"/>
      <c r="F59" s="174"/>
      <c r="G59" s="25"/>
      <c r="H59" s="174"/>
      <c r="I59" s="24"/>
      <c r="J59" s="25"/>
      <c r="K59" s="26"/>
      <c r="M59" s="92"/>
    </row>
    <row r="60" spans="1:13" hidden="1" x14ac:dyDescent="0.35">
      <c r="M60" s="92"/>
    </row>
    <row r="61" spans="1:13" s="92" customFormat="1" ht="16" thickBot="1" x14ac:dyDescent="0.4"/>
    <row r="62" spans="1:13" ht="28.5" customHeight="1" thickBot="1" x14ac:dyDescent="0.4">
      <c r="A62" s="94"/>
      <c r="B62" s="171" t="s">
        <v>79</v>
      </c>
      <c r="C62" s="172"/>
      <c r="D62" s="172"/>
      <c r="E62" s="172"/>
      <c r="F62" s="173"/>
      <c r="G62" s="92"/>
      <c r="H62" s="92"/>
      <c r="I62" s="92"/>
      <c r="J62" s="92"/>
      <c r="K62" s="92"/>
      <c r="L62" s="92"/>
      <c r="M62" s="92"/>
    </row>
    <row r="63" spans="1:13" ht="16" thickBot="1" x14ac:dyDescent="0.4">
      <c r="B63" s="83" t="s">
        <v>12</v>
      </c>
      <c r="C63" s="84" t="s">
        <v>2</v>
      </c>
      <c r="D63" s="83" t="s">
        <v>3</v>
      </c>
      <c r="E63" s="85" t="s">
        <v>4</v>
      </c>
      <c r="F63" s="86" t="s">
        <v>5</v>
      </c>
      <c r="G63" s="92"/>
      <c r="H63" s="92"/>
      <c r="I63" s="92"/>
      <c r="J63" s="92"/>
      <c r="K63" s="92"/>
      <c r="L63" s="92"/>
      <c r="M63" s="92"/>
    </row>
    <row r="64" spans="1:13" x14ac:dyDescent="0.35">
      <c r="B64" s="87">
        <v>1</v>
      </c>
      <c r="C64" s="88">
        <v>2</v>
      </c>
      <c r="D64" s="89">
        <v>3</v>
      </c>
      <c r="E64" s="89">
        <v>4</v>
      </c>
      <c r="F64" s="90">
        <v>5</v>
      </c>
      <c r="G64" s="92"/>
      <c r="H64" s="92"/>
      <c r="I64" s="92"/>
      <c r="J64" s="92"/>
      <c r="K64" s="92"/>
      <c r="L64" s="92"/>
      <c r="M64" s="92"/>
    </row>
    <row r="65" spans="1:13" ht="16" thickBot="1" x14ac:dyDescent="0.4">
      <c r="B65" s="108" t="s">
        <v>17</v>
      </c>
      <c r="C65" s="131">
        <v>0</v>
      </c>
      <c r="D65" s="131">
        <v>0</v>
      </c>
      <c r="E65" s="131">
        <v>0</v>
      </c>
      <c r="F65" s="131">
        <v>0</v>
      </c>
      <c r="G65" s="92"/>
      <c r="H65" s="92"/>
      <c r="I65" s="92"/>
      <c r="J65" s="92"/>
      <c r="K65" s="92"/>
      <c r="L65" s="92"/>
      <c r="M65" s="92"/>
    </row>
    <row r="66" spans="1:13" ht="21" hidden="1" customHeight="1" thickBot="1" x14ac:dyDescent="0.4">
      <c r="B66" s="104" t="s">
        <v>72</v>
      </c>
      <c r="C66" s="105"/>
      <c r="D66" s="106"/>
      <c r="E66" s="106"/>
      <c r="F66" s="107"/>
      <c r="G66" s="92"/>
      <c r="H66" s="92"/>
      <c r="I66" s="92"/>
      <c r="J66" s="92"/>
      <c r="K66" s="92"/>
      <c r="L66" s="92"/>
      <c r="M66" s="92"/>
    </row>
    <row r="67" spans="1:13" x14ac:dyDescent="0.35">
      <c r="A67" s="93"/>
      <c r="B67" s="27"/>
      <c r="C67" s="28"/>
      <c r="D67" s="28"/>
      <c r="E67" s="28"/>
      <c r="F67" s="28"/>
      <c r="M67" s="92"/>
    </row>
    <row r="68" spans="1:13" ht="16" hidden="1" thickBot="1" x14ac:dyDescent="0.4">
      <c r="A68" s="93"/>
      <c r="B68" s="27"/>
      <c r="C68" s="28"/>
      <c r="D68" s="28"/>
      <c r="E68" s="28"/>
      <c r="F68" s="28"/>
      <c r="M68" s="92"/>
    </row>
    <row r="69" spans="1:13" ht="23.25" hidden="1" customHeight="1" thickBot="1" x14ac:dyDescent="0.4">
      <c r="A69" s="93"/>
      <c r="B69" s="165" t="s">
        <v>80</v>
      </c>
      <c r="C69" s="166"/>
      <c r="D69" s="166"/>
      <c r="E69" s="166"/>
      <c r="F69" s="166"/>
      <c r="G69" s="166"/>
      <c r="H69" s="166"/>
      <c r="I69" s="166"/>
      <c r="J69" s="166"/>
      <c r="K69" s="167"/>
      <c r="M69" s="92"/>
    </row>
    <row r="70" spans="1:13" ht="19.5" hidden="1" customHeight="1" thickBot="1" x14ac:dyDescent="0.4">
      <c r="A70" s="93"/>
      <c r="B70" s="160" t="s">
        <v>12</v>
      </c>
      <c r="C70" s="160" t="s">
        <v>13</v>
      </c>
      <c r="D70" s="162" t="s">
        <v>14</v>
      </c>
      <c r="E70" s="163"/>
      <c r="F70" s="163"/>
      <c r="G70" s="164"/>
      <c r="H70" s="160" t="s">
        <v>75</v>
      </c>
      <c r="I70" s="160" t="s">
        <v>16</v>
      </c>
      <c r="J70" s="160" t="s">
        <v>82</v>
      </c>
      <c r="K70" s="160" t="s">
        <v>18</v>
      </c>
      <c r="M70" s="92"/>
    </row>
    <row r="71" spans="1:13" ht="35.15" hidden="1" customHeight="1" thickBot="1" x14ac:dyDescent="0.4">
      <c r="A71" s="93"/>
      <c r="B71" s="161"/>
      <c r="C71" s="161"/>
      <c r="D71" s="29" t="s">
        <v>2</v>
      </c>
      <c r="E71" s="29" t="s">
        <v>3</v>
      </c>
      <c r="F71" s="29" t="s">
        <v>4</v>
      </c>
      <c r="G71" s="29" t="s">
        <v>5</v>
      </c>
      <c r="H71" s="161"/>
      <c r="I71" s="161"/>
      <c r="J71" s="161"/>
      <c r="K71" s="161"/>
      <c r="M71" s="92"/>
    </row>
    <row r="72" spans="1:13" ht="16" hidden="1" thickBot="1" x14ac:dyDescent="0.4">
      <c r="A72" s="93"/>
      <c r="B72" s="30">
        <v>1</v>
      </c>
      <c r="C72" s="31">
        <v>2</v>
      </c>
      <c r="D72" s="31">
        <v>3</v>
      </c>
      <c r="E72" s="31">
        <v>4</v>
      </c>
      <c r="F72" s="31">
        <v>5</v>
      </c>
      <c r="G72" s="31">
        <v>6</v>
      </c>
      <c r="H72" s="31">
        <v>7</v>
      </c>
      <c r="I72" s="31">
        <v>8</v>
      </c>
      <c r="J72" s="31">
        <v>9</v>
      </c>
      <c r="K72" s="31">
        <v>10</v>
      </c>
      <c r="M72" s="92"/>
    </row>
    <row r="73" spans="1:13" ht="19" hidden="1" thickBot="1" x14ac:dyDescent="0.4">
      <c r="A73" s="93"/>
      <c r="B73" s="150" t="s">
        <v>73</v>
      </c>
      <c r="C73" s="151"/>
      <c r="D73" s="151"/>
      <c r="E73" s="151"/>
      <c r="F73" s="151"/>
      <c r="G73" s="151"/>
      <c r="H73" s="151"/>
      <c r="I73" s="151"/>
      <c r="J73" s="151"/>
      <c r="K73" s="152"/>
      <c r="M73" s="92"/>
    </row>
    <row r="74" spans="1:13" hidden="1" x14ac:dyDescent="0.35">
      <c r="A74" s="93"/>
      <c r="B74" s="32" t="s">
        <v>2</v>
      </c>
      <c r="C74" s="33">
        <f>D11+D12</f>
        <v>0</v>
      </c>
      <c r="D74" s="34">
        <v>20</v>
      </c>
      <c r="E74" s="34">
        <v>0</v>
      </c>
      <c r="F74" s="35">
        <v>0</v>
      </c>
      <c r="G74" s="219"/>
      <c r="H74" s="220"/>
      <c r="I74" s="36">
        <v>0</v>
      </c>
      <c r="J74" s="37">
        <v>1</v>
      </c>
      <c r="K74" s="38"/>
      <c r="M74" s="92"/>
    </row>
    <row r="75" spans="1:13" hidden="1" x14ac:dyDescent="0.35">
      <c r="A75" s="93"/>
      <c r="B75" s="39" t="s">
        <v>3</v>
      </c>
      <c r="C75" s="40">
        <f>E11</f>
        <v>0</v>
      </c>
      <c r="D75" s="41"/>
      <c r="E75" s="42">
        <v>10</v>
      </c>
      <c r="F75" s="43"/>
      <c r="G75" s="222"/>
      <c r="H75" s="223"/>
      <c r="I75" s="44"/>
      <c r="J75" s="45">
        <v>1</v>
      </c>
      <c r="K75" s="46">
        <v>1900</v>
      </c>
      <c r="M75" s="92"/>
    </row>
    <row r="76" spans="1:13" hidden="1" x14ac:dyDescent="0.35">
      <c r="A76" s="93"/>
      <c r="B76" s="39" t="s">
        <v>4</v>
      </c>
      <c r="C76" s="40">
        <f>F11</f>
        <v>0</v>
      </c>
      <c r="D76" s="41"/>
      <c r="E76" s="43"/>
      <c r="F76" s="47">
        <v>10</v>
      </c>
      <c r="G76" s="227"/>
      <c r="H76" s="223"/>
      <c r="I76" s="44"/>
      <c r="J76" s="45">
        <v>1</v>
      </c>
      <c r="K76" s="46">
        <v>1900</v>
      </c>
      <c r="M76" s="92"/>
    </row>
    <row r="77" spans="1:13" ht="16" hidden="1" thickBot="1" x14ac:dyDescent="0.4">
      <c r="A77" s="93"/>
      <c r="B77" s="48" t="s">
        <v>5</v>
      </c>
      <c r="C77" s="49">
        <f>G11+G12</f>
        <v>0</v>
      </c>
      <c r="D77" s="228"/>
      <c r="E77" s="229"/>
      <c r="F77" s="230"/>
      <c r="G77" s="50">
        <v>10</v>
      </c>
      <c r="H77" s="226"/>
      <c r="I77" s="51">
        <v>10</v>
      </c>
      <c r="J77" s="52">
        <v>1</v>
      </c>
      <c r="K77" s="53"/>
      <c r="M77" s="92"/>
    </row>
    <row r="78" spans="1:13" ht="19" hidden="1" thickBot="1" x14ac:dyDescent="0.4">
      <c r="A78" s="93"/>
      <c r="B78" s="234" t="s">
        <v>74</v>
      </c>
      <c r="C78" s="235"/>
      <c r="D78" s="236"/>
      <c r="E78" s="236"/>
      <c r="F78" s="236"/>
      <c r="G78" s="236"/>
      <c r="H78" s="236"/>
      <c r="I78" s="236"/>
      <c r="J78" s="236"/>
      <c r="K78" s="237"/>
      <c r="M78" s="92"/>
    </row>
    <row r="79" spans="1:13" hidden="1" x14ac:dyDescent="0.35">
      <c r="A79" s="93"/>
      <c r="B79" s="32" t="s">
        <v>2</v>
      </c>
      <c r="C79" s="33">
        <f>D14</f>
        <v>0</v>
      </c>
      <c r="D79" s="218"/>
      <c r="E79" s="219"/>
      <c r="F79" s="219"/>
      <c r="G79" s="219"/>
      <c r="H79" s="220"/>
      <c r="I79" s="54">
        <v>10</v>
      </c>
      <c r="J79" s="219"/>
      <c r="K79" s="231"/>
      <c r="M79" s="92"/>
    </row>
    <row r="80" spans="1:13" hidden="1" x14ac:dyDescent="0.35">
      <c r="A80" s="93"/>
      <c r="B80" s="39" t="s">
        <v>3</v>
      </c>
      <c r="C80" s="55">
        <f>E14</f>
        <v>0</v>
      </c>
      <c r="D80" s="221"/>
      <c r="E80" s="222"/>
      <c r="F80" s="222"/>
      <c r="G80" s="222"/>
      <c r="H80" s="223"/>
      <c r="I80" s="44">
        <v>10</v>
      </c>
      <c r="J80" s="222"/>
      <c r="K80" s="232"/>
      <c r="M80" s="92"/>
    </row>
    <row r="81" spans="1:13" hidden="1" x14ac:dyDescent="0.35">
      <c r="A81" s="93"/>
      <c r="B81" s="39" t="s">
        <v>4</v>
      </c>
      <c r="C81" s="55">
        <f>F14</f>
        <v>0</v>
      </c>
      <c r="D81" s="221"/>
      <c r="E81" s="222"/>
      <c r="F81" s="222"/>
      <c r="G81" s="222"/>
      <c r="H81" s="223"/>
      <c r="I81" s="44">
        <v>10</v>
      </c>
      <c r="J81" s="222"/>
      <c r="K81" s="232"/>
      <c r="M81" s="92"/>
    </row>
    <row r="82" spans="1:13" ht="16" hidden="1" thickBot="1" x14ac:dyDescent="0.4">
      <c r="A82" s="93"/>
      <c r="B82" s="48" t="s">
        <v>5</v>
      </c>
      <c r="C82" s="56">
        <f>G14</f>
        <v>0</v>
      </c>
      <c r="D82" s="224"/>
      <c r="E82" s="225"/>
      <c r="F82" s="225"/>
      <c r="G82" s="225"/>
      <c r="H82" s="226"/>
      <c r="I82" s="51">
        <v>10</v>
      </c>
      <c r="J82" s="225"/>
      <c r="K82" s="233"/>
      <c r="M82" s="92"/>
    </row>
    <row r="83" spans="1:13" s="92" customFormat="1" ht="16" thickBot="1" x14ac:dyDescent="0.4">
      <c r="A83" s="93"/>
      <c r="B83" s="111"/>
      <c r="C83" s="93"/>
      <c r="D83" s="93"/>
      <c r="E83" s="93"/>
      <c r="F83" s="93"/>
    </row>
    <row r="84" spans="1:13" s="92" customFormat="1" ht="19" thickBot="1" x14ac:dyDescent="0.4">
      <c r="A84" s="93"/>
      <c r="B84" s="153" t="s">
        <v>119</v>
      </c>
      <c r="C84" s="154"/>
      <c r="D84" s="154"/>
      <c r="E84" s="154"/>
      <c r="F84" s="154"/>
      <c r="G84" s="154"/>
      <c r="H84" s="155"/>
    </row>
    <row r="85" spans="1:13" ht="48.75" customHeight="1" thickBot="1" x14ac:dyDescent="0.4">
      <c r="B85" s="158" t="s">
        <v>86</v>
      </c>
      <c r="C85" s="156" t="s">
        <v>24</v>
      </c>
      <c r="D85" s="157"/>
      <c r="E85" s="156" t="s">
        <v>25</v>
      </c>
      <c r="F85" s="157"/>
      <c r="G85" s="156" t="s">
        <v>26</v>
      </c>
      <c r="H85" s="157"/>
      <c r="I85" s="92"/>
      <c r="J85" s="92"/>
      <c r="K85" s="92"/>
      <c r="L85" s="92"/>
      <c r="M85" s="92"/>
    </row>
    <row r="86" spans="1:13" ht="53.25" customHeight="1" thickBot="1" x14ac:dyDescent="0.4">
      <c r="B86" s="159"/>
      <c r="C86" s="91" t="s">
        <v>1</v>
      </c>
      <c r="D86" s="91" t="s">
        <v>7</v>
      </c>
      <c r="E86" s="91" t="s">
        <v>1</v>
      </c>
      <c r="F86" s="91" t="s">
        <v>7</v>
      </c>
      <c r="G86" s="91" t="s">
        <v>1</v>
      </c>
      <c r="H86" s="91" t="s">
        <v>7</v>
      </c>
      <c r="I86" s="92"/>
      <c r="J86" s="92"/>
      <c r="K86" s="92"/>
      <c r="L86" s="92"/>
      <c r="M86" s="92"/>
    </row>
    <row r="87" spans="1:13" s="92" customFormat="1" ht="16" thickBot="1" x14ac:dyDescent="0.4">
      <c r="B87" s="109">
        <v>1</v>
      </c>
      <c r="C87" s="109">
        <v>2</v>
      </c>
      <c r="D87" s="109">
        <v>3</v>
      </c>
      <c r="E87" s="109">
        <v>4</v>
      </c>
      <c r="F87" s="109">
        <v>5</v>
      </c>
      <c r="G87" s="109">
        <v>6</v>
      </c>
      <c r="H87" s="109">
        <v>7</v>
      </c>
    </row>
    <row r="88" spans="1:13" x14ac:dyDescent="0.35">
      <c r="B88" s="110"/>
      <c r="C88" s="143"/>
      <c r="D88" s="143"/>
      <c r="E88" s="143"/>
      <c r="F88" s="143"/>
      <c r="G88" s="143"/>
      <c r="H88" s="143"/>
      <c r="I88" s="92"/>
      <c r="J88" s="92"/>
      <c r="K88" s="92"/>
      <c r="L88" s="92"/>
      <c r="M88" s="92"/>
    </row>
    <row r="89" spans="1:13" x14ac:dyDescent="0.35">
      <c r="B89" s="110"/>
      <c r="C89" s="143"/>
      <c r="D89" s="143"/>
      <c r="E89" s="143"/>
      <c r="F89" s="143"/>
      <c r="G89" s="143"/>
      <c r="H89" s="143"/>
      <c r="I89" s="92"/>
      <c r="J89" s="92"/>
      <c r="K89" s="92"/>
      <c r="L89" s="92"/>
      <c r="M89" s="92"/>
    </row>
    <row r="90" spans="1:13" x14ac:dyDescent="0.35">
      <c r="B90" s="110"/>
      <c r="C90" s="143"/>
      <c r="D90" s="143"/>
      <c r="E90" s="143"/>
      <c r="F90" s="143"/>
      <c r="G90" s="143"/>
      <c r="H90" s="143"/>
      <c r="I90" s="92"/>
      <c r="J90" s="92"/>
      <c r="K90" s="92"/>
      <c r="L90" s="92"/>
      <c r="M90" s="92"/>
    </row>
    <row r="91" spans="1:13" x14ac:dyDescent="0.35">
      <c r="B91" s="110"/>
      <c r="C91" s="143"/>
      <c r="D91" s="143"/>
      <c r="E91" s="143"/>
      <c r="F91" s="143"/>
      <c r="G91" s="143"/>
      <c r="H91" s="143"/>
      <c r="I91" s="92"/>
      <c r="J91" s="92"/>
      <c r="K91" s="92"/>
      <c r="L91" s="92"/>
      <c r="M91" s="92"/>
    </row>
    <row r="92" spans="1:13" x14ac:dyDescent="0.35">
      <c r="B92" s="110"/>
      <c r="C92" s="143"/>
      <c r="D92" s="143"/>
      <c r="E92" s="143"/>
      <c r="F92" s="143"/>
      <c r="G92" s="143"/>
      <c r="H92" s="143"/>
      <c r="I92" s="92"/>
      <c r="J92" s="92"/>
      <c r="K92" s="92"/>
      <c r="L92" s="92"/>
      <c r="M92" s="92"/>
    </row>
    <row r="93" spans="1:13" x14ac:dyDescent="0.35">
      <c r="B93" s="110"/>
      <c r="C93" s="143"/>
      <c r="D93" s="143"/>
      <c r="E93" s="143"/>
      <c r="F93" s="143"/>
      <c r="G93" s="143"/>
      <c r="H93" s="143"/>
      <c r="I93" s="92"/>
      <c r="J93" s="92"/>
      <c r="K93" s="92"/>
      <c r="L93" s="92"/>
      <c r="M93" s="92"/>
    </row>
    <row r="94" spans="1:13" x14ac:dyDescent="0.35">
      <c r="B94" s="110"/>
      <c r="C94" s="143"/>
      <c r="D94" s="143"/>
      <c r="E94" s="143"/>
      <c r="F94" s="143"/>
      <c r="G94" s="143"/>
      <c r="H94" s="143"/>
      <c r="I94" s="92"/>
      <c r="J94" s="92"/>
      <c r="K94" s="92"/>
      <c r="L94" s="92"/>
      <c r="M94" s="92"/>
    </row>
    <row r="95" spans="1:13" x14ac:dyDescent="0.35">
      <c r="B95" s="110"/>
      <c r="C95" s="143"/>
      <c r="D95" s="143"/>
      <c r="E95" s="143"/>
      <c r="F95" s="143"/>
      <c r="G95" s="143"/>
      <c r="H95" s="143"/>
      <c r="I95" s="92"/>
      <c r="J95" s="92"/>
      <c r="K95" s="92"/>
      <c r="L95" s="92"/>
      <c r="M95" s="92"/>
    </row>
    <row r="96" spans="1:13" x14ac:dyDescent="0.35">
      <c r="B96" s="110"/>
      <c r="C96" s="143"/>
      <c r="D96" s="143"/>
      <c r="E96" s="143"/>
      <c r="F96" s="143"/>
      <c r="G96" s="143"/>
      <c r="H96" s="143"/>
      <c r="I96" s="92"/>
      <c r="J96" s="92"/>
      <c r="K96" s="92"/>
      <c r="L96" s="92"/>
      <c r="M96" s="92"/>
    </row>
    <row r="97" spans="2:13" x14ac:dyDescent="0.35">
      <c r="B97" s="110"/>
      <c r="C97" s="143"/>
      <c r="D97" s="143"/>
      <c r="E97" s="143"/>
      <c r="F97" s="143"/>
      <c r="G97" s="143"/>
      <c r="H97" s="143"/>
      <c r="I97" s="92"/>
      <c r="J97" s="92"/>
      <c r="K97" s="92"/>
      <c r="L97" s="92"/>
      <c r="M97" s="92"/>
    </row>
    <row r="98" spans="2:13" x14ac:dyDescent="0.35">
      <c r="B98" s="110"/>
      <c r="C98" s="143"/>
      <c r="D98" s="143"/>
      <c r="E98" s="143"/>
      <c r="F98" s="143"/>
      <c r="G98" s="143"/>
      <c r="H98" s="143"/>
      <c r="I98" s="92"/>
      <c r="J98" s="92"/>
      <c r="K98" s="92"/>
      <c r="L98" s="92"/>
      <c r="M98" s="92"/>
    </row>
    <row r="99" spans="2:13" x14ac:dyDescent="0.35">
      <c r="B99" s="110"/>
      <c r="C99" s="143"/>
      <c r="D99" s="143"/>
      <c r="E99" s="143"/>
      <c r="F99" s="143"/>
      <c r="G99" s="143"/>
      <c r="H99" s="143"/>
      <c r="I99" s="92"/>
      <c r="J99" s="92"/>
      <c r="K99" s="92"/>
      <c r="L99" s="92"/>
      <c r="M99" s="92"/>
    </row>
    <row r="100" spans="2:13" x14ac:dyDescent="0.35">
      <c r="B100" s="110"/>
      <c r="C100" s="143"/>
      <c r="D100" s="143"/>
      <c r="E100" s="143"/>
      <c r="F100" s="143"/>
      <c r="G100" s="143"/>
      <c r="H100" s="143"/>
      <c r="I100" s="92"/>
      <c r="J100" s="92"/>
      <c r="K100" s="92"/>
      <c r="L100" s="92"/>
      <c r="M100" s="92"/>
    </row>
    <row r="101" spans="2:13" x14ac:dyDescent="0.35">
      <c r="B101" s="110"/>
      <c r="C101" s="143"/>
      <c r="D101" s="143"/>
      <c r="E101" s="143"/>
      <c r="F101" s="143"/>
      <c r="G101" s="143"/>
      <c r="H101" s="143"/>
      <c r="I101" s="92"/>
      <c r="J101" s="92"/>
      <c r="K101" s="92"/>
      <c r="L101" s="92"/>
      <c r="M101" s="92"/>
    </row>
    <row r="102" spans="2:13" x14ac:dyDescent="0.35">
      <c r="B102" s="110"/>
      <c r="C102" s="143"/>
      <c r="D102" s="143"/>
      <c r="E102" s="143"/>
      <c r="F102" s="143"/>
      <c r="G102" s="143"/>
      <c r="H102" s="143"/>
      <c r="I102" s="92"/>
      <c r="J102" s="92"/>
      <c r="K102" s="92"/>
      <c r="L102" s="92"/>
      <c r="M102" s="92"/>
    </row>
    <row r="103" spans="2:13" x14ac:dyDescent="0.35">
      <c r="B103" s="110"/>
      <c r="C103" s="143"/>
      <c r="D103" s="143"/>
      <c r="E103" s="143"/>
      <c r="F103" s="143"/>
      <c r="G103" s="143"/>
      <c r="H103" s="143"/>
      <c r="I103" s="92"/>
      <c r="J103" s="92"/>
      <c r="K103" s="92"/>
      <c r="L103" s="92"/>
      <c r="M103" s="92"/>
    </row>
    <row r="104" spans="2:13" x14ac:dyDescent="0.35">
      <c r="B104" s="110"/>
      <c r="C104" s="143"/>
      <c r="D104" s="143"/>
      <c r="E104" s="143"/>
      <c r="F104" s="143"/>
      <c r="G104" s="143"/>
      <c r="H104" s="143"/>
      <c r="I104" s="92"/>
      <c r="J104" s="92"/>
      <c r="K104" s="92"/>
      <c r="L104" s="92"/>
      <c r="M104" s="92"/>
    </row>
    <row r="105" spans="2:13" x14ac:dyDescent="0.35">
      <c r="B105" s="110"/>
      <c r="C105" s="143"/>
      <c r="D105" s="143"/>
      <c r="E105" s="143"/>
      <c r="F105" s="143"/>
      <c r="G105" s="143"/>
      <c r="H105" s="143"/>
      <c r="I105" s="92"/>
      <c r="J105" s="92"/>
      <c r="K105" s="92"/>
      <c r="L105" s="92"/>
      <c r="M105" s="92"/>
    </row>
    <row r="106" spans="2:13" x14ac:dyDescent="0.35">
      <c r="B106" s="110"/>
      <c r="C106" s="143"/>
      <c r="D106" s="143"/>
      <c r="E106" s="143"/>
      <c r="F106" s="143"/>
      <c r="G106" s="143"/>
      <c r="H106" s="143"/>
      <c r="I106" s="92"/>
      <c r="J106" s="92"/>
      <c r="K106" s="92"/>
      <c r="L106" s="92"/>
      <c r="M106" s="92"/>
    </row>
    <row r="107" spans="2:13" x14ac:dyDescent="0.35">
      <c r="B107" s="110"/>
      <c r="C107" s="143"/>
      <c r="D107" s="143"/>
      <c r="E107" s="143"/>
      <c r="F107" s="143"/>
      <c r="G107" s="143"/>
      <c r="H107" s="143"/>
      <c r="I107" s="92"/>
      <c r="J107" s="92"/>
      <c r="K107" s="92"/>
      <c r="L107" s="92"/>
      <c r="M107" s="92"/>
    </row>
    <row r="108" spans="2:13" x14ac:dyDescent="0.35">
      <c r="B108" s="110"/>
      <c r="C108" s="143"/>
      <c r="D108" s="143"/>
      <c r="E108" s="143"/>
      <c r="F108" s="143"/>
      <c r="G108" s="143"/>
      <c r="H108" s="143"/>
      <c r="I108" s="92"/>
      <c r="J108" s="92"/>
      <c r="K108" s="92"/>
      <c r="L108" s="92"/>
      <c r="M108" s="92"/>
    </row>
    <row r="109" spans="2:13" x14ac:dyDescent="0.35">
      <c r="B109" s="110"/>
      <c r="C109" s="143"/>
      <c r="D109" s="143"/>
      <c r="E109" s="143"/>
      <c r="F109" s="143"/>
      <c r="G109" s="143"/>
      <c r="H109" s="143"/>
      <c r="I109" s="92"/>
      <c r="J109" s="92"/>
      <c r="K109" s="92"/>
      <c r="L109" s="92"/>
      <c r="M109" s="92"/>
    </row>
    <row r="110" spans="2:13" x14ac:dyDescent="0.35">
      <c r="B110" s="110"/>
      <c r="C110" s="143"/>
      <c r="D110" s="143"/>
      <c r="E110" s="143"/>
      <c r="F110" s="143"/>
      <c r="G110" s="143"/>
      <c r="H110" s="143"/>
      <c r="I110" s="92"/>
      <c r="J110" s="92"/>
      <c r="K110" s="92"/>
      <c r="L110" s="92"/>
      <c r="M110" s="92"/>
    </row>
    <row r="111" spans="2:13" x14ac:dyDescent="0.35">
      <c r="B111" s="110"/>
      <c r="C111" s="143"/>
      <c r="D111" s="143"/>
      <c r="E111" s="143"/>
      <c r="F111" s="143"/>
      <c r="G111" s="143"/>
      <c r="H111" s="143"/>
      <c r="I111" s="92"/>
      <c r="J111" s="92"/>
      <c r="K111" s="92"/>
      <c r="L111" s="92"/>
      <c r="M111" s="92"/>
    </row>
    <row r="112" spans="2:13" x14ac:dyDescent="0.35">
      <c r="B112" s="110"/>
      <c r="C112" s="143"/>
      <c r="D112" s="143"/>
      <c r="E112" s="143"/>
      <c r="F112" s="143"/>
      <c r="G112" s="143"/>
      <c r="H112" s="143"/>
      <c r="I112" s="92"/>
      <c r="J112" s="92"/>
      <c r="K112" s="92"/>
      <c r="L112" s="92"/>
      <c r="M112" s="92"/>
    </row>
    <row r="113" spans="2:13" x14ac:dyDescent="0.35">
      <c r="B113" s="110"/>
      <c r="C113" s="143"/>
      <c r="D113" s="143"/>
      <c r="E113" s="143"/>
      <c r="F113" s="143"/>
      <c r="G113" s="143"/>
      <c r="H113" s="143"/>
      <c r="I113" s="92"/>
      <c r="J113" s="92"/>
      <c r="K113" s="92"/>
      <c r="L113" s="92"/>
      <c r="M113" s="92"/>
    </row>
    <row r="114" spans="2:13" x14ac:dyDescent="0.35">
      <c r="B114" s="110"/>
      <c r="C114" s="143"/>
      <c r="D114" s="143"/>
      <c r="E114" s="143"/>
      <c r="F114" s="143"/>
      <c r="G114" s="143"/>
      <c r="H114" s="143"/>
      <c r="I114" s="92"/>
      <c r="J114" s="92"/>
      <c r="K114" s="92"/>
      <c r="L114" s="92"/>
      <c r="M114" s="92"/>
    </row>
    <row r="115" spans="2:13" x14ac:dyDescent="0.35">
      <c r="B115" s="110"/>
      <c r="C115" s="143"/>
      <c r="D115" s="143"/>
      <c r="E115" s="143"/>
      <c r="F115" s="143"/>
      <c r="G115" s="143"/>
      <c r="H115" s="143"/>
      <c r="I115" s="92"/>
      <c r="J115" s="92"/>
      <c r="K115" s="92"/>
      <c r="L115" s="92"/>
      <c r="M115" s="92"/>
    </row>
    <row r="116" spans="2:13" x14ac:dyDescent="0.35">
      <c r="B116" s="110"/>
      <c r="C116" s="143"/>
      <c r="D116" s="143"/>
      <c r="E116" s="143"/>
      <c r="F116" s="143"/>
      <c r="G116" s="143"/>
      <c r="H116" s="143"/>
      <c r="I116" s="92"/>
      <c r="J116" s="92"/>
      <c r="K116" s="92"/>
      <c r="L116" s="92"/>
      <c r="M116" s="92"/>
    </row>
    <row r="117" spans="2:13" x14ac:dyDescent="0.35">
      <c r="B117" s="110"/>
      <c r="C117" s="143"/>
      <c r="D117" s="143"/>
      <c r="E117" s="143"/>
      <c r="F117" s="143"/>
      <c r="G117" s="143"/>
      <c r="H117" s="143"/>
      <c r="I117" s="92"/>
      <c r="J117" s="92"/>
      <c r="K117" s="92"/>
      <c r="L117" s="92"/>
      <c r="M117" s="92"/>
    </row>
    <row r="118" spans="2:13" x14ac:dyDescent="0.35">
      <c r="B118" s="110"/>
      <c r="C118" s="143"/>
      <c r="D118" s="143"/>
      <c r="E118" s="143"/>
      <c r="F118" s="143"/>
      <c r="G118" s="143"/>
      <c r="H118" s="143"/>
      <c r="I118" s="92"/>
      <c r="J118" s="92"/>
      <c r="K118" s="92"/>
      <c r="L118" s="92"/>
      <c r="M118" s="92"/>
    </row>
    <row r="119" spans="2:13" x14ac:dyDescent="0.35">
      <c r="B119" s="110"/>
      <c r="C119" s="143"/>
      <c r="D119" s="143"/>
      <c r="E119" s="143"/>
      <c r="F119" s="143"/>
      <c r="G119" s="143"/>
      <c r="H119" s="143"/>
      <c r="I119" s="92"/>
      <c r="J119" s="92"/>
      <c r="K119" s="92"/>
      <c r="L119" s="92"/>
      <c r="M119" s="92"/>
    </row>
    <row r="120" spans="2:13" x14ac:dyDescent="0.35">
      <c r="B120" s="110"/>
      <c r="C120" s="143"/>
      <c r="D120" s="143"/>
      <c r="E120" s="143"/>
      <c r="F120" s="143"/>
      <c r="G120" s="143"/>
      <c r="H120" s="143"/>
      <c r="I120" s="92"/>
      <c r="J120" s="92"/>
      <c r="K120" s="92"/>
      <c r="L120" s="92"/>
      <c r="M120" s="92"/>
    </row>
    <row r="121" spans="2:13" x14ac:dyDescent="0.35">
      <c r="B121" s="110"/>
      <c r="C121" s="143"/>
      <c r="D121" s="143"/>
      <c r="E121" s="143"/>
      <c r="F121" s="143"/>
      <c r="G121" s="143"/>
      <c r="H121" s="143"/>
      <c r="I121" s="92"/>
      <c r="J121" s="92"/>
      <c r="K121" s="92"/>
      <c r="L121" s="92"/>
      <c r="M121" s="92"/>
    </row>
    <row r="122" spans="2:13" x14ac:dyDescent="0.35">
      <c r="B122" s="110"/>
      <c r="C122" s="143"/>
      <c r="D122" s="143"/>
      <c r="E122" s="143"/>
      <c r="F122" s="143"/>
      <c r="G122" s="143"/>
      <c r="H122" s="143"/>
      <c r="I122" s="92"/>
      <c r="J122" s="92"/>
      <c r="K122" s="92"/>
      <c r="L122" s="92"/>
      <c r="M122" s="92"/>
    </row>
    <row r="123" spans="2:13" x14ac:dyDescent="0.35">
      <c r="B123" s="110"/>
      <c r="C123" s="143"/>
      <c r="D123" s="143"/>
      <c r="E123" s="143"/>
      <c r="F123" s="143"/>
      <c r="G123" s="143"/>
      <c r="H123" s="143"/>
      <c r="I123" s="92"/>
      <c r="J123" s="92"/>
      <c r="K123" s="92"/>
      <c r="L123" s="92"/>
      <c r="M123" s="92"/>
    </row>
    <row r="124" spans="2:13" ht="16" thickBot="1" x14ac:dyDescent="0.4">
      <c r="B124" s="110"/>
      <c r="C124" s="143"/>
      <c r="D124" s="143"/>
      <c r="E124" s="143"/>
      <c r="F124" s="143"/>
      <c r="G124" s="143"/>
      <c r="H124" s="143"/>
      <c r="I124" s="92"/>
      <c r="J124" s="92"/>
      <c r="K124" s="92"/>
      <c r="L124" s="92"/>
      <c r="M124" s="92"/>
    </row>
    <row r="125" spans="2:13" ht="16" thickBot="1" x14ac:dyDescent="0.4">
      <c r="B125" s="103" t="s">
        <v>84</v>
      </c>
      <c r="C125" s="132">
        <f t="shared" ref="C125:H125" si="0">SUM(C88:C124)</f>
        <v>0</v>
      </c>
      <c r="D125" s="132">
        <f t="shared" si="0"/>
        <v>0</v>
      </c>
      <c r="E125" s="132">
        <f t="shared" si="0"/>
        <v>0</v>
      </c>
      <c r="F125" s="132">
        <f t="shared" si="0"/>
        <v>0</v>
      </c>
      <c r="G125" s="132">
        <f t="shared" si="0"/>
        <v>0</v>
      </c>
      <c r="H125" s="133">
        <f t="shared" si="0"/>
        <v>0</v>
      </c>
      <c r="I125" s="92"/>
      <c r="J125" s="92"/>
      <c r="K125" s="92"/>
      <c r="L125" s="92"/>
      <c r="M125" s="92"/>
    </row>
    <row r="126" spans="2:13" s="92" customFormat="1" x14ac:dyDescent="0.35">
      <c r="B126" s="95"/>
    </row>
    <row r="127" spans="2:13" s="92" customFormat="1" x14ac:dyDescent="0.35"/>
    <row r="128" spans="2:13" x14ac:dyDescent="0.35"/>
    <row r="129" x14ac:dyDescent="0.35"/>
  </sheetData>
  <sheetProtection algorithmName="SHA-512" hashValue="Nc8hZ3yW8JDxOQD/vhsLw+FxPgTM0q/SpsvopC+xU54wfi/XAka3f870SlVhf4C5FTXvxU6rtb+LslguNirgmA==" saltValue="u5jXIi5v5bLnOpZ7iz8M3w==" spinCount="100000" sheet="1" objects="1" scenarios="1"/>
  <mergeCells count="53">
    <mergeCell ref="B2:L3"/>
    <mergeCell ref="H5:H6"/>
    <mergeCell ref="I5:J6"/>
    <mergeCell ref="D79:H82"/>
    <mergeCell ref="G74:G76"/>
    <mergeCell ref="H74:H77"/>
    <mergeCell ref="D77:F77"/>
    <mergeCell ref="J79:K82"/>
    <mergeCell ref="B78:K78"/>
    <mergeCell ref="H7:M7"/>
    <mergeCell ref="K53:K54"/>
    <mergeCell ref="C5:D5"/>
    <mergeCell ref="C6:D6"/>
    <mergeCell ref="E5:F5"/>
    <mergeCell ref="E6:F6"/>
    <mergeCell ref="B46:C46"/>
    <mergeCell ref="B49:C49"/>
    <mergeCell ref="B52:K52"/>
    <mergeCell ref="B62:F62"/>
    <mergeCell ref="H56:H59"/>
    <mergeCell ref="J53:J54"/>
    <mergeCell ref="B8:G8"/>
    <mergeCell ref="B27:F27"/>
    <mergeCell ref="D59:F59"/>
    <mergeCell ref="H53:H54"/>
    <mergeCell ref="I53:I54"/>
    <mergeCell ref="E12:F12"/>
    <mergeCell ref="D13:G13"/>
    <mergeCell ref="D15:G15"/>
    <mergeCell ref="D31:E32"/>
    <mergeCell ref="B53:B54"/>
    <mergeCell ref="C53:C54"/>
    <mergeCell ref="D53:G53"/>
    <mergeCell ref="B45:E45"/>
    <mergeCell ref="B50:C50"/>
    <mergeCell ref="B47:C47"/>
    <mergeCell ref="B48:C48"/>
    <mergeCell ref="B19:G19"/>
    <mergeCell ref="D23:G23"/>
    <mergeCell ref="B73:K73"/>
    <mergeCell ref="B84:H84"/>
    <mergeCell ref="C85:D85"/>
    <mergeCell ref="E85:F85"/>
    <mergeCell ref="G85:H85"/>
    <mergeCell ref="B85:B86"/>
    <mergeCell ref="B70:B71"/>
    <mergeCell ref="C70:C71"/>
    <mergeCell ref="D70:G70"/>
    <mergeCell ref="H70:H71"/>
    <mergeCell ref="B69:K69"/>
    <mergeCell ref="I70:I71"/>
    <mergeCell ref="J70:J71"/>
    <mergeCell ref="K70:K71"/>
  </mergeCells>
  <dataValidations count="8">
    <dataValidation type="list" showInputMessage="1" showErrorMessage="1" sqref="G6" xr:uid="{00000000-0002-0000-0100-000000000000}">
      <formula1>"April, May, June, July, August, September, October, November, December, January, February, March"</formula1>
    </dataValidation>
    <dataValidation type="decimal" allowBlank="1" showInputMessage="1" showErrorMessage="1" sqref="C74:K77 C79:K82 D15 D66:E66 E12 D23" xr:uid="{00000000-0002-0000-0100-000001000000}">
      <formula1>0</formula1>
      <formula2>9999999999999.99</formula2>
    </dataValidation>
    <dataValidation type="list" allowBlank="1" showInputMessage="1" showErrorMessage="1" sqref="B88:B124" xr:uid="{00000000-0002-0000-0100-000002000000}">
      <formula1>StatesAndUT</formula1>
    </dataValidation>
    <dataValidation type="decimal" allowBlank="1" showInputMessage="1" showErrorMessage="1" error="Field accepts only numeric value. Maximum: 13 digits with two decimal places." sqref="F37 C65:F65 D38:F38 D48:E49 C41:D41 D37 F41 C37:C38" xr:uid="{00000000-0002-0000-0100-000004000000}">
      <formula1>0</formula1>
      <formula2>9999999999999.99</formula2>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41" xr:uid="{00000000-0002-0000-0100-000005000000}">
      <formula1>0</formula1>
      <formula2>9999999999999.99</formula2>
    </dataValidation>
    <dataValidation type="decimal" allowBlank="1" showInputMessage="1" showErrorMessage="1" error="Field accepts only numeric value. Maximum: 13 digits with two decimal places." sqref="F31:F34 D33:D35 C42:D42 C32:C35 F42 C22:G22 C23 E11:F11 G11:G12 D11:D12 C11:C13 C15 C14:G14 C88:H124" xr:uid="{340D0513-1987-4584-BF9D-38F975E18C30}">
      <formula1>-9999999999999.99</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33:E35 E37" xr:uid="{248937DE-85C5-458C-A45B-FBFC4247E9F6}">
      <formula1>-9999999999999.99</formula1>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42" xr:uid="{4AE8E054-F125-4F60-9C21-66C0D56632FF}">
      <formula1>-9999999999999.99</formula1>
      <formula2>9999999999999.99</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showInputMessage="1" showErrorMessage="1" xr:uid="{00000000-0002-0000-0100-000006000000}">
          <x14:formula1>
            <xm:f>Sheet1!$A$1:$A$9</xm:f>
          </x14:formula1>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9"/>
  <sheetViews>
    <sheetView workbookViewId="0">
      <selection activeCell="A9" sqref="A9"/>
    </sheetView>
  </sheetViews>
  <sheetFormatPr defaultRowHeight="14.5" x14ac:dyDescent="0.35"/>
  <sheetData>
    <row r="1" spans="1:1" x14ac:dyDescent="0.35">
      <c r="A1" t="s">
        <v>95</v>
      </c>
    </row>
    <row r="2" spans="1:1" x14ac:dyDescent="0.35">
      <c r="A2" t="s">
        <v>94</v>
      </c>
    </row>
    <row r="3" spans="1:1" x14ac:dyDescent="0.35">
      <c r="A3" t="s">
        <v>96</v>
      </c>
    </row>
    <row r="4" spans="1:1" x14ac:dyDescent="0.35">
      <c r="A4" t="s">
        <v>97</v>
      </c>
    </row>
    <row r="5" spans="1:1" x14ac:dyDescent="0.35">
      <c r="A5" t="s">
        <v>100</v>
      </c>
    </row>
    <row r="6" spans="1:1" x14ac:dyDescent="0.35">
      <c r="A6" t="s">
        <v>101</v>
      </c>
    </row>
    <row r="7" spans="1:1" x14ac:dyDescent="0.35">
      <c r="A7" t="s">
        <v>103</v>
      </c>
    </row>
    <row r="8" spans="1:1" x14ac:dyDescent="0.35">
      <c r="A8" t="s">
        <v>113</v>
      </c>
    </row>
    <row r="9" spans="1:1" x14ac:dyDescent="0.35">
      <c r="A9" t="s">
        <v>118</v>
      </c>
    </row>
  </sheetData>
  <sheetProtection algorithmName="SHA-512" hashValue="JRENe0B0Z+jIpiDECAm+exfTP3myRLmHrKsNdEIqSKmHDWbyXBuZ6zvNHRM466LLfenXqRt9XZAgmXl9rUTxww==" saltValue="ILJlrkC9p9Rc3VEk+ddvCg==" spinCount="100000"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U39"/>
  <sheetViews>
    <sheetView topLeftCell="G1" workbookViewId="0">
      <selection activeCell="U3" sqref="U3"/>
    </sheetView>
  </sheetViews>
  <sheetFormatPr defaultRowHeight="14.5" x14ac:dyDescent="0.35"/>
  <cols>
    <col min="1" max="1" width="44.453125" customWidth="1"/>
    <col min="2" max="2" width="26.1796875" bestFit="1" customWidth="1"/>
    <col min="3" max="3" width="53.26953125" bestFit="1" customWidth="1"/>
    <col min="21" max="21" width="6.1796875" style="102" bestFit="1" customWidth="1"/>
  </cols>
  <sheetData>
    <row r="1" spans="1:21" x14ac:dyDescent="0.35">
      <c r="A1" s="3" t="s">
        <v>66</v>
      </c>
    </row>
    <row r="2" spans="1:21" x14ac:dyDescent="0.35">
      <c r="A2" s="1" t="s">
        <v>32</v>
      </c>
      <c r="B2">
        <f>IF(COUNTIF('GSTR-3B'!$B$88:$B$124,A2)&gt;=1,"",ROW())</f>
        <v>2</v>
      </c>
      <c r="C2" t="str">
        <f t="array" ref="C2:C39" ca="1">IF(ROW(A2:A39)-ROW(A2)+1&gt;COUNT(B2:B39),"", INDEX(A:A,SMALL(B2:B39,ROW(INDIRECT("1:"&amp;ROWS(A2:A39))))))</f>
        <v>01-Jammu &amp; Kashmir</v>
      </c>
    </row>
    <row r="3" spans="1:21" x14ac:dyDescent="0.35">
      <c r="A3" s="1" t="s">
        <v>33</v>
      </c>
      <c r="B3">
        <f>IF(COUNTIF('GSTR-3B'!$B$88:$B$124,A3)&gt;=1,"",ROW())</f>
        <v>3</v>
      </c>
      <c r="C3" t="str">
        <f ca="1"/>
        <v>02-Himachal Pradesh</v>
      </c>
      <c r="U3" s="102">
        <f>SUM('GSTR-3B'!D88:D124)+SUM('GSTR-3B'!F88:F124)+SUM('GSTR-3B'!H88:H124)</f>
        <v>0</v>
      </c>
    </row>
    <row r="4" spans="1:21" x14ac:dyDescent="0.35">
      <c r="A4" s="1" t="s">
        <v>34</v>
      </c>
      <c r="B4">
        <f>IF(COUNTIF('GSTR-3B'!$B$88:$B$124,A4)&gt;=1,"",ROW())</f>
        <v>4</v>
      </c>
      <c r="C4" t="str">
        <f ca="1"/>
        <v>03-Punjab</v>
      </c>
      <c r="U4" s="102" t="b">
        <f>IF('GSTR-3B'!C65 = 'GSTR-3B'!J74,)</f>
        <v>0</v>
      </c>
    </row>
    <row r="5" spans="1:21" x14ac:dyDescent="0.35">
      <c r="A5" s="1" t="s">
        <v>35</v>
      </c>
      <c r="B5">
        <f>IF(COUNTIF('GSTR-3B'!$B$88:$B$124,A5)&gt;=1,"",ROW())</f>
        <v>5</v>
      </c>
      <c r="C5" t="str">
        <f ca="1"/>
        <v>04-Chandigarh</v>
      </c>
      <c r="U5" s="102" t="b">
        <f>IF('GSTR-3B'!D65 = 'GSTR-3B'!J75,)</f>
        <v>0</v>
      </c>
    </row>
    <row r="6" spans="1:21" x14ac:dyDescent="0.35">
      <c r="A6" s="1" t="s">
        <v>36</v>
      </c>
      <c r="B6">
        <f>IF(COUNTIF('GSTR-3B'!$B$88:$B$124,A6)&gt;=1,"",ROW())</f>
        <v>6</v>
      </c>
      <c r="C6" t="str">
        <f ca="1"/>
        <v>05-Uttarakhand</v>
      </c>
      <c r="U6" s="102" t="b">
        <f>IF('GSTR-3B'!E65 = 'GSTR-3B'!J76,)</f>
        <v>0</v>
      </c>
    </row>
    <row r="7" spans="1:21" x14ac:dyDescent="0.35">
      <c r="A7" s="1" t="s">
        <v>37</v>
      </c>
      <c r="B7">
        <f>IF(COUNTIF('GSTR-3B'!$B$88:$B$124,A7)&gt;=1,"",ROW())</f>
        <v>7</v>
      </c>
      <c r="C7" t="str">
        <f ca="1"/>
        <v>06-Haryana</v>
      </c>
      <c r="U7" s="102" t="b">
        <f>IF('GSTR-3B'!F65 = 'GSTR-3B'!J77,)</f>
        <v>0</v>
      </c>
    </row>
    <row r="8" spans="1:21" x14ac:dyDescent="0.35">
      <c r="A8" s="1" t="s">
        <v>38</v>
      </c>
      <c r="B8">
        <f>IF(COUNTIF('GSTR-3B'!$B$88:$B$124,A8)&gt;=1,"",ROW())</f>
        <v>8</v>
      </c>
      <c r="C8" t="str">
        <f ca="1"/>
        <v>07-Delhi</v>
      </c>
    </row>
    <row r="9" spans="1:21" x14ac:dyDescent="0.35">
      <c r="A9" s="1" t="s">
        <v>39</v>
      </c>
      <c r="B9">
        <f>IF(COUNTIF('GSTR-3B'!$B$88:$B$124,A9)&gt;=1,"",ROW())</f>
        <v>9</v>
      </c>
      <c r="C9" t="str">
        <f ca="1"/>
        <v>08-Rajasthan</v>
      </c>
      <c r="F9" t="s">
        <v>102</v>
      </c>
    </row>
    <row r="10" spans="1:21" x14ac:dyDescent="0.35">
      <c r="A10" s="1" t="s">
        <v>40</v>
      </c>
      <c r="B10">
        <f>IF(COUNTIF('GSTR-3B'!$B$88:$B$124,A10)&gt;=1,"",ROW())</f>
        <v>10</v>
      </c>
      <c r="C10" t="str">
        <f ca="1"/>
        <v>09-Uttar Pradesh</v>
      </c>
    </row>
    <row r="11" spans="1:21" x14ac:dyDescent="0.35">
      <c r="A11" s="1" t="s">
        <v>41</v>
      </c>
      <c r="B11">
        <f>IF(COUNTIF('GSTR-3B'!$B$88:$B$124,A11)&gt;=1,"",ROW())</f>
        <v>11</v>
      </c>
      <c r="C11" t="str">
        <f ca="1"/>
        <v>10-Bihar</v>
      </c>
    </row>
    <row r="12" spans="1:21" x14ac:dyDescent="0.35">
      <c r="A12" s="1" t="s">
        <v>42</v>
      </c>
      <c r="B12">
        <f>IF(COUNTIF('GSTR-3B'!$B$88:$B$124,A12)&gt;=1,"",ROW())</f>
        <v>12</v>
      </c>
      <c r="C12" t="str">
        <f ca="1"/>
        <v>11-Sikkim</v>
      </c>
    </row>
    <row r="13" spans="1:21" x14ac:dyDescent="0.35">
      <c r="A13" s="1" t="s">
        <v>43</v>
      </c>
      <c r="B13">
        <f>IF(COUNTIF('GSTR-3B'!$B$88:$B$124,A13)&gt;=1,"",ROW())</f>
        <v>13</v>
      </c>
      <c r="C13" t="str">
        <f ca="1"/>
        <v>12-Arunachal Pradesh</v>
      </c>
    </row>
    <row r="14" spans="1:21" x14ac:dyDescent="0.35">
      <c r="A14" s="1" t="s">
        <v>44</v>
      </c>
      <c r="B14">
        <f>IF(COUNTIF('GSTR-3B'!$B$88:$B$124,A14)&gt;=1,"",ROW())</f>
        <v>14</v>
      </c>
      <c r="C14" t="str">
        <f ca="1"/>
        <v>13-Nagaland</v>
      </c>
    </row>
    <row r="15" spans="1:21" x14ac:dyDescent="0.35">
      <c r="A15" s="1" t="s">
        <v>45</v>
      </c>
      <c r="B15">
        <f>IF(COUNTIF('GSTR-3B'!$B$88:$B$124,A15)&gt;=1,"",ROW())</f>
        <v>15</v>
      </c>
      <c r="C15" t="str">
        <f ca="1"/>
        <v>14-Manipur</v>
      </c>
    </row>
    <row r="16" spans="1:21" x14ac:dyDescent="0.35">
      <c r="A16" s="1" t="s">
        <v>46</v>
      </c>
      <c r="B16">
        <f>IF(COUNTIF('GSTR-3B'!$B$88:$B$124,A16)&gt;=1,"",ROW())</f>
        <v>16</v>
      </c>
      <c r="C16" t="str">
        <f ca="1"/>
        <v>15-Mizoram</v>
      </c>
    </row>
    <row r="17" spans="1:3" x14ac:dyDescent="0.35">
      <c r="A17" s="1" t="s">
        <v>47</v>
      </c>
      <c r="B17">
        <f>IF(COUNTIF('GSTR-3B'!$B$88:$B$124,A17)&gt;=1,"",ROW())</f>
        <v>17</v>
      </c>
      <c r="C17" t="str">
        <f ca="1"/>
        <v>16-Tripura</v>
      </c>
    </row>
    <row r="18" spans="1:3" x14ac:dyDescent="0.35">
      <c r="A18" s="1" t="s">
        <v>48</v>
      </c>
      <c r="B18">
        <f>IF(COUNTIF('GSTR-3B'!$B$88:$B$124,A18)&gt;=1,"",ROW())</f>
        <v>18</v>
      </c>
      <c r="C18" t="str">
        <f ca="1"/>
        <v>17-Meghalaya</v>
      </c>
    </row>
    <row r="19" spans="1:3" x14ac:dyDescent="0.35">
      <c r="A19" s="1" t="s">
        <v>49</v>
      </c>
      <c r="B19">
        <f>IF(COUNTIF('GSTR-3B'!$B$88:$B$124,A19)&gt;=1,"",ROW())</f>
        <v>19</v>
      </c>
      <c r="C19" t="str">
        <f ca="1"/>
        <v>18-Assam</v>
      </c>
    </row>
    <row r="20" spans="1:3" x14ac:dyDescent="0.35">
      <c r="A20" s="1" t="s">
        <v>50</v>
      </c>
      <c r="B20">
        <f>IF(COUNTIF('GSTR-3B'!$B$88:$B$124,A20)&gt;=1,"",ROW())</f>
        <v>20</v>
      </c>
      <c r="C20" t="str">
        <f ca="1"/>
        <v>19-West Bengal</v>
      </c>
    </row>
    <row r="21" spans="1:3" x14ac:dyDescent="0.35">
      <c r="A21" s="1" t="s">
        <v>51</v>
      </c>
      <c r="B21">
        <f>IF(COUNTIF('GSTR-3B'!$B$88:$B$124,A21)&gt;=1,"",ROW())</f>
        <v>21</v>
      </c>
      <c r="C21" t="str">
        <f ca="1"/>
        <v>20-Jharkhand</v>
      </c>
    </row>
    <row r="22" spans="1:3" x14ac:dyDescent="0.35">
      <c r="A22" s="1" t="s">
        <v>52</v>
      </c>
      <c r="B22">
        <f>IF(COUNTIF('GSTR-3B'!$B$88:$B$124,A22)&gt;=1,"",ROW())</f>
        <v>22</v>
      </c>
      <c r="C22" t="str">
        <f ca="1"/>
        <v>21-Odisha</v>
      </c>
    </row>
    <row r="23" spans="1:3" x14ac:dyDescent="0.35">
      <c r="A23" s="1" t="s">
        <v>53</v>
      </c>
      <c r="B23">
        <f>IF(COUNTIF('GSTR-3B'!$B$88:$B$124,A23)&gt;=1,"",ROW())</f>
        <v>23</v>
      </c>
      <c r="C23" t="str">
        <f ca="1"/>
        <v>22-Chhattisgarh</v>
      </c>
    </row>
    <row r="24" spans="1:3" x14ac:dyDescent="0.35">
      <c r="A24" s="1" t="s">
        <v>54</v>
      </c>
      <c r="B24">
        <f>IF(COUNTIF('GSTR-3B'!$B$88:$B$124,A24)&gt;=1,"",ROW())</f>
        <v>24</v>
      </c>
      <c r="C24" t="str">
        <f ca="1"/>
        <v>23-Madhya Pradesh</v>
      </c>
    </row>
    <row r="25" spans="1:3" x14ac:dyDescent="0.35">
      <c r="A25" s="1" t="s">
        <v>55</v>
      </c>
      <c r="B25">
        <f>IF(COUNTIF('GSTR-3B'!$B$88:$B$124,A25)&gt;=1,"",ROW())</f>
        <v>25</v>
      </c>
      <c r="C25" t="str">
        <f ca="1"/>
        <v>24-Gujarat</v>
      </c>
    </row>
    <row r="26" spans="1:3" x14ac:dyDescent="0.35">
      <c r="A26" s="1" t="s">
        <v>56</v>
      </c>
      <c r="B26">
        <f>IF(COUNTIF('GSTR-3B'!$B$88:$B$124,A26)&gt;=1,"",ROW())</f>
        <v>26</v>
      </c>
      <c r="C26" t="str">
        <f ca="1"/>
        <v>25-Daman &amp; Diu</v>
      </c>
    </row>
    <row r="27" spans="1:3" ht="15.75" customHeight="1" x14ac:dyDescent="0.35">
      <c r="A27" s="1" t="s">
        <v>99</v>
      </c>
      <c r="B27">
        <f>IF(COUNTIF('GSTR-3B'!$B$88:$B$124,A27)&gt;=1,"",ROW())</f>
        <v>27</v>
      </c>
      <c r="C27" t="str">
        <f ca="1"/>
        <v>26-Dadra and Nagar Haveli and Daman and Diu</v>
      </c>
    </row>
    <row r="28" spans="1:3" x14ac:dyDescent="0.35">
      <c r="A28" s="1" t="s">
        <v>57</v>
      </c>
      <c r="B28">
        <f>IF(COUNTIF('GSTR-3B'!$B$88:$B$124,A28)&gt;=1,"",ROW())</f>
        <v>28</v>
      </c>
      <c r="C28" t="str">
        <f ca="1"/>
        <v>27-Maharashtra</v>
      </c>
    </row>
    <row r="29" spans="1:3" x14ac:dyDescent="0.35">
      <c r="A29" s="1" t="s">
        <v>58</v>
      </c>
      <c r="B29">
        <f>IF(COUNTIF('GSTR-3B'!$B$88:$B$124,A29)&gt;=1,"",ROW())</f>
        <v>29</v>
      </c>
      <c r="C29" t="str">
        <f ca="1"/>
        <v>29-Karnataka</v>
      </c>
    </row>
    <row r="30" spans="1:3" x14ac:dyDescent="0.35">
      <c r="A30" s="1" t="s">
        <v>59</v>
      </c>
      <c r="B30">
        <f>IF(COUNTIF('GSTR-3B'!$B$88:$B$124,A30)&gt;=1,"",ROW())</f>
        <v>30</v>
      </c>
      <c r="C30" t="str">
        <f ca="1"/>
        <v>30-Goa</v>
      </c>
    </row>
    <row r="31" spans="1:3" x14ac:dyDescent="0.35">
      <c r="A31" s="1" t="s">
        <v>60</v>
      </c>
      <c r="B31">
        <f>IF(COUNTIF('GSTR-3B'!$B$88:$B$124,A31)&gt;=1,"",ROW())</f>
        <v>31</v>
      </c>
      <c r="C31" t="str">
        <f ca="1"/>
        <v>31-Lakshdweep</v>
      </c>
    </row>
    <row r="32" spans="1:3" x14ac:dyDescent="0.35">
      <c r="A32" s="1" t="s">
        <v>61</v>
      </c>
      <c r="B32">
        <f>IF(COUNTIF('GSTR-3B'!$B$88:$B$124,A32)&gt;=1,"",ROW())</f>
        <v>32</v>
      </c>
      <c r="C32" t="str">
        <f ca="1"/>
        <v>32-Kerala</v>
      </c>
    </row>
    <row r="33" spans="1:3" x14ac:dyDescent="0.35">
      <c r="A33" s="1" t="s">
        <v>62</v>
      </c>
      <c r="B33">
        <f>IF(COUNTIF('GSTR-3B'!$B$88:$B$124,A33)&gt;=1,"",ROW())</f>
        <v>33</v>
      </c>
      <c r="C33" t="str">
        <f ca="1"/>
        <v>33-Tamil Nadu</v>
      </c>
    </row>
    <row r="34" spans="1:3" x14ac:dyDescent="0.35">
      <c r="A34" s="1" t="s">
        <v>93</v>
      </c>
      <c r="B34">
        <f>IF(COUNTIF('GSTR-3B'!$B$88:$B$124,A34)&gt;=1,"",ROW())</f>
        <v>34</v>
      </c>
      <c r="C34" t="str">
        <f ca="1"/>
        <v>34-Puducherry</v>
      </c>
    </row>
    <row r="35" spans="1:3" x14ac:dyDescent="0.35">
      <c r="A35" s="1" t="s">
        <v>63</v>
      </c>
      <c r="B35">
        <f>IF(COUNTIF('GSTR-3B'!$B$88:$B$124,A35)&gt;=1,"",ROW())</f>
        <v>35</v>
      </c>
      <c r="C35" t="str">
        <f ca="1"/>
        <v>35-Andaman &amp; Nicobar Islands</v>
      </c>
    </row>
    <row r="36" spans="1:3" x14ac:dyDescent="0.35">
      <c r="A36" s="1" t="s">
        <v>64</v>
      </c>
      <c r="B36">
        <f>IF(COUNTIF('GSTR-3B'!$B$88:$B$124,A36)&gt;=1,"",ROW())</f>
        <v>36</v>
      </c>
      <c r="C36" t="str">
        <f ca="1"/>
        <v>36-Telengana</v>
      </c>
    </row>
    <row r="37" spans="1:3" x14ac:dyDescent="0.35">
      <c r="A37" s="1" t="s">
        <v>65</v>
      </c>
      <c r="B37">
        <f>IF(COUNTIF('GSTR-3B'!$B$88:$B$124,A37)&gt;=1,"",ROW())</f>
        <v>37</v>
      </c>
      <c r="C37" t="str">
        <f ca="1"/>
        <v>37-Andhra Pradesh</v>
      </c>
    </row>
    <row r="38" spans="1:3" x14ac:dyDescent="0.35">
      <c r="A38" s="2" t="s">
        <v>98</v>
      </c>
      <c r="B38">
        <f>IF(COUNTIF('GSTR-3B'!$B$88:$B$124,A38)&gt;=1,"",ROW())</f>
        <v>38</v>
      </c>
      <c r="C38" t="str">
        <f ca="1"/>
        <v>38-Ladakh</v>
      </c>
    </row>
    <row r="39" spans="1:3" x14ac:dyDescent="0.35">
      <c r="A39" s="2" t="s">
        <v>83</v>
      </c>
      <c r="B39">
        <f>IF(COUNTIF('GSTR-3B'!$B$88:$B$124,A39)&gt;=1,"",ROW())</f>
        <v>39</v>
      </c>
      <c r="C39" t="str">
        <f ca="1"/>
        <v>97-Other Territory</v>
      </c>
    </row>
  </sheetData>
  <phoneticPr fontId="35"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Help Instructions </vt:lpstr>
      <vt:lpstr>GSTR-3B</vt:lpstr>
      <vt:lpstr>Sheet1</vt:lpstr>
      <vt:lpstr>Master</vt:lpstr>
      <vt:lpstr>disable3.2</vt:lpstr>
      <vt:lpstr>EcoSuppliesRange</vt:lpstr>
      <vt:lpstr>ExemptNilRatedRange</vt:lpstr>
      <vt:lpstr>'GSTR-3B'!greyout3.2fields</vt:lpstr>
      <vt:lpstr>InterestRange</vt:lpstr>
      <vt:lpstr>InterStateSuppliesValuesRange</vt:lpstr>
      <vt:lpstr>ITCRange</vt:lpstr>
      <vt:lpstr>OutwardInwardSuppliesRange</vt:lpstr>
      <vt:lpstr>StateUTRange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Aakanksha Sunka</cp:lastModifiedBy>
  <dcterms:created xsi:type="dcterms:W3CDTF">2017-06-23T16:57:24Z</dcterms:created>
  <dcterms:modified xsi:type="dcterms:W3CDTF">2025-05-15T14:46:52Z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aditya.singh51@ad.infosys.com</vt:lpwstr>
  </property>
  <property fmtid="{D5CDD505-2E9C-101B-9397-08002B2CF9AE}" pid="5" name="MSIP_Label_be4b3411-284d-4d31-bd4f-bc13ef7f1fd6_SetDate">
    <vt:lpwstr>2019-11-15T08:06:34.4068154Z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2cdd17d3-25ab-46f7-ab6f-5aef2940ede1</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2022-08-08T08:17:30Z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2cdd17d3-25ab-46f7-ab6f-5aef2940ede1</vt:lpwstr>
  </property>
  <property fmtid="{D5CDD505-2E9C-101B-9397-08002B2CF9AE}" pid="16" name="MSIP_Label_a0819fa7-4367-4500-ba88-dd630d977609_ContentBits">
    <vt:lpwstr>0</vt:lpwstr>
  </property>
</Properties>
</file>